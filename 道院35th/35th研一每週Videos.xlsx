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\中華道教學院\每週課程影片\"/>
    </mc:Choice>
  </mc:AlternateContent>
  <xr:revisionPtr revIDLastSave="0" documentId="13_ncr:1_{78C5FCB5-D8DE-4AB9-8EF0-411574670848}" xr6:coauthVersionLast="47" xr6:coauthVersionMax="47" xr10:uidLastSave="{00000000-0000-0000-0000-000000000000}"/>
  <bookViews>
    <workbookView xWindow="-120" yWindow="-120" windowWidth="29040" windowHeight="15990" activeTab="4" xr2:uid="{1F1EA98A-508D-497F-910E-D1C95AFA2F4A}"/>
  </bookViews>
  <sheets>
    <sheet name="112-1" sheetId="1" r:id="rId1"/>
    <sheet name="112-2" sheetId="3" r:id="rId2"/>
    <sheet name="113-1" sheetId="4" r:id="rId3"/>
    <sheet name="113-2" sheetId="6" r:id="rId4"/>
    <sheet name="114-1" sheetId="8" r:id="rId5"/>
    <sheet name="weeks" sheetId="2" state="hidden" r:id="rId6"/>
    <sheet name="Sheet2" sheetId="5" state="hidden" r:id="rId7"/>
  </sheets>
  <definedNames>
    <definedName name="_xlnm._FilterDatabase" localSheetId="6" hidden="1">Sheet2!$A$1:$B$41</definedName>
    <definedName name="_xlnm._FilterDatabase" localSheetId="5" hidden="1">weeks!$A$1:$G$1</definedName>
  </definedNames>
  <calcPr calcId="191029"/>
  <webPublishObjects count="1">
    <webPublishObject id="27348" divId="35th研一每週Videos_27348" destinationFile="D:\Data\中華道教學院\每週課程影片\35th研一每週Videos.htm" autoRepublish="1"/>
  </webPublishObjec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23" i="5"/>
  <c r="B3" i="5"/>
  <c r="B24" i="5"/>
  <c r="B4" i="5"/>
  <c r="B25" i="5"/>
  <c r="B5" i="5"/>
  <c r="B26" i="5"/>
  <c r="B6" i="5"/>
  <c r="B27" i="5"/>
  <c r="B7" i="5"/>
  <c r="B28" i="5"/>
  <c r="B8" i="5"/>
  <c r="B29" i="5"/>
  <c r="B9" i="5"/>
  <c r="B30" i="5"/>
  <c r="B10" i="5"/>
  <c r="B31" i="5"/>
  <c r="B11" i="5"/>
  <c r="B32" i="5"/>
  <c r="B12" i="5"/>
  <c r="B33" i="5"/>
  <c r="B13" i="5"/>
  <c r="B34" i="5"/>
  <c r="B14" i="5"/>
  <c r="B35" i="5"/>
  <c r="B15" i="5"/>
  <c r="B36" i="5"/>
  <c r="B16" i="5"/>
  <c r="B37" i="5"/>
  <c r="B17" i="5"/>
  <c r="B38" i="5"/>
  <c r="B18" i="5"/>
  <c r="B39" i="5"/>
  <c r="B19" i="5"/>
  <c r="B40" i="5"/>
  <c r="B20" i="5"/>
  <c r="B41" i="5"/>
  <c r="B21" i="5"/>
  <c r="B22" i="5"/>
  <c r="C11" i="2"/>
  <c r="C12" i="2" s="1"/>
  <c r="C13" i="2" s="1"/>
  <c r="C14" i="2" s="1"/>
  <c r="C15" i="2" s="1"/>
  <c r="C16" i="2" s="1"/>
  <c r="C17" i="2" s="1"/>
  <c r="C19" i="2"/>
  <c r="C20" i="2" s="1"/>
  <c r="C21" i="2" s="1"/>
  <c r="C22" i="2" s="1"/>
  <c r="C23" i="2" s="1"/>
  <c r="C24" i="2" s="1"/>
  <c r="C25" i="2" s="1"/>
  <c r="C27" i="2"/>
  <c r="C28" i="2"/>
  <c r="C29" i="2" s="1"/>
  <c r="C30" i="2" s="1"/>
  <c r="C31" i="2" s="1"/>
  <c r="C32" i="2" s="1"/>
  <c r="C33" i="2" s="1"/>
  <c r="C35" i="2"/>
  <c r="C36" i="2"/>
  <c r="C37" i="2"/>
  <c r="C38" i="2" s="1"/>
  <c r="C39" i="2" s="1"/>
  <c r="C40" i="2" s="1"/>
  <c r="C41" i="2" s="1"/>
  <c r="C43" i="2"/>
  <c r="C44" i="2" s="1"/>
  <c r="C45" i="2" s="1"/>
  <c r="C46" i="2" s="1"/>
  <c r="C47" i="2" s="1"/>
  <c r="C48" i="2" s="1"/>
  <c r="C49" i="2" s="1"/>
  <c r="C51" i="2"/>
  <c r="C52" i="2" s="1"/>
  <c r="C53" i="2" s="1"/>
  <c r="C54" i="2" s="1"/>
  <c r="C55" i="2" s="1"/>
  <c r="C56" i="2" s="1"/>
  <c r="C57" i="2" s="1"/>
  <c r="C59" i="2"/>
  <c r="C60" i="2"/>
  <c r="C61" i="2" s="1"/>
  <c r="C62" i="2" s="1"/>
  <c r="C63" i="2" s="1"/>
  <c r="C64" i="2" s="1"/>
  <c r="C65" i="2" s="1"/>
  <c r="C67" i="2"/>
  <c r="C68" i="2"/>
  <c r="C69" i="2"/>
  <c r="C70" i="2" s="1"/>
  <c r="C71" i="2" s="1"/>
  <c r="C72" i="2" s="1"/>
  <c r="C73" i="2" s="1"/>
  <c r="C75" i="2"/>
  <c r="C76" i="2" s="1"/>
  <c r="C77" i="2" s="1"/>
  <c r="C78" i="2" s="1"/>
  <c r="C79" i="2" s="1"/>
  <c r="C80" i="2" s="1"/>
  <c r="C81" i="2" s="1"/>
  <c r="C83" i="2"/>
  <c r="C84" i="2" s="1"/>
  <c r="C85" i="2" s="1"/>
  <c r="C86" i="2" s="1"/>
  <c r="C87" i="2" s="1"/>
  <c r="C88" i="2" s="1"/>
  <c r="C89" i="2" s="1"/>
  <c r="C91" i="2"/>
  <c r="C92" i="2"/>
  <c r="C93" i="2" s="1"/>
  <c r="C94" i="2" s="1"/>
  <c r="C95" i="2" s="1"/>
  <c r="C96" i="2" s="1"/>
  <c r="C97" i="2" s="1"/>
  <c r="C99" i="2"/>
  <c r="C100" i="2"/>
  <c r="C101" i="2"/>
  <c r="C102" i="2" s="1"/>
  <c r="C103" i="2" s="1"/>
  <c r="C104" i="2" s="1"/>
  <c r="C105" i="2" s="1"/>
  <c r="C107" i="2"/>
  <c r="C108" i="2" s="1"/>
  <c r="C109" i="2" s="1"/>
  <c r="C110" i="2" s="1"/>
  <c r="C111" i="2" s="1"/>
  <c r="C112" i="2" s="1"/>
  <c r="C113" i="2" s="1"/>
  <c r="C115" i="2"/>
  <c r="C116" i="2" s="1"/>
  <c r="C117" i="2" s="1"/>
  <c r="C118" i="2" s="1"/>
  <c r="C119" i="2" s="1"/>
  <c r="C120" i="2" s="1"/>
  <c r="C121" i="2" s="1"/>
  <c r="C123" i="2"/>
  <c r="C124" i="2"/>
  <c r="C125" i="2" s="1"/>
  <c r="C126" i="2" s="1"/>
  <c r="C127" i="2" s="1"/>
  <c r="C128" i="2" s="1"/>
  <c r="C129" i="2" s="1"/>
  <c r="C131" i="2"/>
  <c r="C132" i="2"/>
  <c r="C133" i="2"/>
  <c r="C134" i="2" s="1"/>
  <c r="C135" i="2" s="1"/>
  <c r="C136" i="2" s="1"/>
  <c r="C137" i="2" s="1"/>
  <c r="C139" i="2"/>
  <c r="C140" i="2" s="1"/>
  <c r="C141" i="2" s="1"/>
  <c r="C142" i="2" s="1"/>
  <c r="C143" i="2" s="1"/>
  <c r="C144" i="2" s="1"/>
  <c r="C145" i="2" s="1"/>
  <c r="C147" i="2"/>
  <c r="C148" i="2" s="1"/>
  <c r="C149" i="2" s="1"/>
  <c r="C155" i="2"/>
  <c r="C156" i="2"/>
  <c r="C157" i="2" s="1"/>
  <c r="D6" i="2"/>
  <c r="B160" i="2"/>
  <c r="B159" i="2"/>
  <c r="B158" i="2"/>
  <c r="D157" i="2"/>
  <c r="B157" i="2"/>
  <c r="A157" i="2"/>
  <c r="D156" i="2"/>
  <c r="B156" i="2"/>
  <c r="A156" i="2"/>
  <c r="D155" i="2"/>
  <c r="B155" i="2"/>
  <c r="A155" i="2"/>
  <c r="F155" i="2" s="1"/>
  <c r="D154" i="2"/>
  <c r="G154" i="2" s="1"/>
  <c r="B154" i="2"/>
  <c r="A154" i="2"/>
  <c r="B152" i="2"/>
  <c r="B151" i="2"/>
  <c r="B150" i="2"/>
  <c r="D149" i="2"/>
  <c r="B149" i="2"/>
  <c r="D148" i="2"/>
  <c r="B148" i="2"/>
  <c r="D147" i="2"/>
  <c r="G147" i="2" s="1"/>
  <c r="B147" i="2"/>
  <c r="F146" i="2"/>
  <c r="D146" i="2"/>
  <c r="G146" i="2" s="1"/>
  <c r="B146" i="2"/>
  <c r="A146" i="2"/>
  <c r="A147" i="2" s="1"/>
  <c r="D7" i="2"/>
  <c r="D8" i="2" s="1"/>
  <c r="D9" i="2" s="1"/>
  <c r="C4" i="2"/>
  <c r="C5" i="2" s="1"/>
  <c r="C6" i="2" s="1"/>
  <c r="C3" i="2"/>
  <c r="B54" i="2"/>
  <c r="B62" i="2" s="1"/>
  <c r="B70" i="2" s="1"/>
  <c r="B78" i="2" s="1"/>
  <c r="B86" i="2" s="1"/>
  <c r="B94" i="2" s="1"/>
  <c r="B102" i="2" s="1"/>
  <c r="B110" i="2" s="1"/>
  <c r="B118" i="2" s="1"/>
  <c r="B126" i="2" s="1"/>
  <c r="B134" i="2" s="1"/>
  <c r="B142" i="2" s="1"/>
  <c r="B50" i="2"/>
  <c r="B58" i="2" s="1"/>
  <c r="B66" i="2" s="1"/>
  <c r="B74" i="2" s="1"/>
  <c r="B82" i="2" s="1"/>
  <c r="B90" i="2" s="1"/>
  <c r="B98" i="2" s="1"/>
  <c r="B106" i="2" s="1"/>
  <c r="B114" i="2" s="1"/>
  <c r="B122" i="2" s="1"/>
  <c r="B130" i="2" s="1"/>
  <c r="B138" i="2" s="1"/>
  <c r="B46" i="2"/>
  <c r="B45" i="2"/>
  <c r="B53" i="2" s="1"/>
  <c r="B61" i="2" s="1"/>
  <c r="B69" i="2" s="1"/>
  <c r="B77" i="2" s="1"/>
  <c r="B85" i="2" s="1"/>
  <c r="B93" i="2" s="1"/>
  <c r="B101" i="2" s="1"/>
  <c r="B109" i="2" s="1"/>
  <c r="B117" i="2" s="1"/>
  <c r="B125" i="2" s="1"/>
  <c r="B133" i="2" s="1"/>
  <c r="B141" i="2" s="1"/>
  <c r="B42" i="2"/>
  <c r="B40" i="2"/>
  <c r="B48" i="2" s="1"/>
  <c r="B56" i="2" s="1"/>
  <c r="B64" i="2" s="1"/>
  <c r="B72" i="2" s="1"/>
  <c r="B80" i="2" s="1"/>
  <c r="B88" i="2" s="1"/>
  <c r="B96" i="2" s="1"/>
  <c r="B104" i="2" s="1"/>
  <c r="B112" i="2" s="1"/>
  <c r="B120" i="2" s="1"/>
  <c r="B128" i="2" s="1"/>
  <c r="B136" i="2" s="1"/>
  <c r="B144" i="2" s="1"/>
  <c r="B39" i="2"/>
  <c r="B47" i="2" s="1"/>
  <c r="B55" i="2" s="1"/>
  <c r="B63" i="2" s="1"/>
  <c r="B71" i="2" s="1"/>
  <c r="B79" i="2" s="1"/>
  <c r="B87" i="2" s="1"/>
  <c r="B95" i="2" s="1"/>
  <c r="B103" i="2" s="1"/>
  <c r="B111" i="2" s="1"/>
  <c r="B119" i="2" s="1"/>
  <c r="B127" i="2" s="1"/>
  <c r="B135" i="2" s="1"/>
  <c r="B143" i="2" s="1"/>
  <c r="B38" i="2"/>
  <c r="B37" i="2"/>
  <c r="B36" i="2"/>
  <c r="B44" i="2" s="1"/>
  <c r="B52" i="2" s="1"/>
  <c r="B60" i="2" s="1"/>
  <c r="B68" i="2" s="1"/>
  <c r="B76" i="2" s="1"/>
  <c r="B84" i="2" s="1"/>
  <c r="B92" i="2" s="1"/>
  <c r="B100" i="2" s="1"/>
  <c r="B108" i="2" s="1"/>
  <c r="B116" i="2" s="1"/>
  <c r="B124" i="2" s="1"/>
  <c r="B132" i="2" s="1"/>
  <c r="B140" i="2" s="1"/>
  <c r="B35" i="2"/>
  <c r="B43" i="2" s="1"/>
  <c r="B51" i="2" s="1"/>
  <c r="B59" i="2" s="1"/>
  <c r="B67" i="2" s="1"/>
  <c r="B75" i="2" s="1"/>
  <c r="B83" i="2" s="1"/>
  <c r="B91" i="2" s="1"/>
  <c r="B99" i="2" s="1"/>
  <c r="B107" i="2" s="1"/>
  <c r="B115" i="2" s="1"/>
  <c r="B123" i="2" s="1"/>
  <c r="B131" i="2" s="1"/>
  <c r="B139" i="2" s="1"/>
  <c r="B34" i="2"/>
  <c r="B32" i="2"/>
  <c r="B31" i="2"/>
  <c r="B30" i="2"/>
  <c r="B29" i="2"/>
  <c r="B28" i="2"/>
  <c r="B27" i="2"/>
  <c r="B26" i="2"/>
  <c r="B24" i="2"/>
  <c r="B23" i="2"/>
  <c r="B22" i="2"/>
  <c r="B21" i="2"/>
  <c r="B20" i="2"/>
  <c r="B19" i="2"/>
  <c r="B18" i="2"/>
  <c r="B16" i="2"/>
  <c r="B15" i="2"/>
  <c r="B14" i="2"/>
  <c r="B13" i="2"/>
  <c r="B12" i="2"/>
  <c r="B11" i="2"/>
  <c r="B10" i="2"/>
  <c r="A46" i="2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25" i="2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" i="2"/>
  <c r="A5" i="2" s="1"/>
  <c r="A6" i="2" s="1"/>
  <c r="A3" i="2"/>
  <c r="G2" i="2"/>
  <c r="F2" i="2"/>
  <c r="D14" i="2"/>
  <c r="D22" i="2" s="1"/>
  <c r="D30" i="2" s="1"/>
  <c r="D3" i="2"/>
  <c r="D10" i="2"/>
  <c r="D18" i="2" s="1"/>
  <c r="D26" i="2" s="1"/>
  <c r="D34" i="2" s="1"/>
  <c r="D42" i="2" s="1"/>
  <c r="D50" i="2" s="1"/>
  <c r="D58" i="2" s="1"/>
  <c r="D66" i="2" s="1"/>
  <c r="D74" i="2" s="1"/>
  <c r="D82" i="2" s="1"/>
  <c r="D90" i="2" s="1"/>
  <c r="D98" i="2" s="1"/>
  <c r="D106" i="2" s="1"/>
  <c r="D114" i="2" s="1"/>
  <c r="D122" i="2" s="1"/>
  <c r="D130" i="2" s="1"/>
  <c r="D138" i="2" s="1"/>
  <c r="G138" i="2" s="1"/>
  <c r="C158" i="2" l="1"/>
  <c r="C159" i="2" s="1"/>
  <c r="C160" i="2" s="1"/>
  <c r="C161" i="2" s="1"/>
  <c r="G157" i="2"/>
  <c r="C150" i="2"/>
  <c r="C151" i="2" s="1"/>
  <c r="C152" i="2" s="1"/>
  <c r="C153" i="2" s="1"/>
  <c r="G149" i="2"/>
  <c r="G148" i="2"/>
  <c r="G155" i="2"/>
  <c r="G156" i="2"/>
  <c r="F156" i="2"/>
  <c r="F157" i="2"/>
  <c r="F154" i="2"/>
  <c r="A158" i="2"/>
  <c r="A148" i="2"/>
  <c r="F147" i="2"/>
  <c r="G34" i="2"/>
  <c r="G98" i="2"/>
  <c r="G66" i="2"/>
  <c r="G6" i="2"/>
  <c r="C7" i="2"/>
  <c r="C8" i="2" s="1"/>
  <c r="C9" i="2" s="1"/>
  <c r="A132" i="2"/>
  <c r="A133" i="2" s="1"/>
  <c r="A134" i="2" s="1"/>
  <c r="A135" i="2" s="1"/>
  <c r="F130" i="2"/>
  <c r="F122" i="2"/>
  <c r="F30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F6" i="2"/>
  <c r="F3" i="2"/>
  <c r="G130" i="2"/>
  <c r="G122" i="2"/>
  <c r="G90" i="2"/>
  <c r="G58" i="2"/>
  <c r="G26" i="2"/>
  <c r="G114" i="2"/>
  <c r="G82" i="2"/>
  <c r="G50" i="2"/>
  <c r="G18" i="2"/>
  <c r="G106" i="2"/>
  <c r="G74" i="2"/>
  <c r="G42" i="2"/>
  <c r="G10" i="2"/>
  <c r="G14" i="2"/>
  <c r="G30" i="2"/>
  <c r="G3" i="2"/>
  <c r="G22" i="2"/>
  <c r="G7" i="2"/>
  <c r="F22" i="2"/>
  <c r="F14" i="2"/>
  <c r="F114" i="2"/>
  <c r="F98" i="2"/>
  <c r="F90" i="2"/>
  <c r="F82" i="2"/>
  <c r="F74" i="2"/>
  <c r="F58" i="2"/>
  <c r="F50" i="2"/>
  <c r="F42" i="2"/>
  <c r="F26" i="2"/>
  <c r="F10" i="2"/>
  <c r="F106" i="2"/>
  <c r="F66" i="2"/>
  <c r="F34" i="2"/>
  <c r="F18" i="2"/>
  <c r="G8" i="2"/>
  <c r="D38" i="2"/>
  <c r="G38" i="2" s="1"/>
  <c r="D11" i="2"/>
  <c r="G11" i="2" s="1"/>
  <c r="D4" i="2"/>
  <c r="G4" i="2" s="1"/>
  <c r="D16" i="2"/>
  <c r="G16" i="2" s="1"/>
  <c r="D15" i="2"/>
  <c r="G15" i="2" s="1"/>
  <c r="A159" i="2" l="1"/>
  <c r="F148" i="2"/>
  <c r="A149" i="2"/>
  <c r="F7" i="2"/>
  <c r="A136" i="2"/>
  <c r="F15" i="2"/>
  <c r="F38" i="2"/>
  <c r="F16" i="2"/>
  <c r="F8" i="2"/>
  <c r="F4" i="2"/>
  <c r="F11" i="2"/>
  <c r="G9" i="2"/>
  <c r="D24" i="2"/>
  <c r="G24" i="2" s="1"/>
  <c r="D19" i="2"/>
  <c r="G19" i="2" s="1"/>
  <c r="D23" i="2"/>
  <c r="G23" i="2" s="1"/>
  <c r="D12" i="2"/>
  <c r="G12" i="2" s="1"/>
  <c r="D5" i="2"/>
  <c r="G5" i="2" s="1"/>
  <c r="D46" i="2"/>
  <c r="G46" i="2" s="1"/>
  <c r="A160" i="2" l="1"/>
  <c r="F149" i="2"/>
  <c r="A150" i="2"/>
  <c r="A137" i="2"/>
  <c r="F23" i="2"/>
  <c r="F46" i="2"/>
  <c r="F24" i="2"/>
  <c r="F9" i="2"/>
  <c r="F19" i="2"/>
  <c r="F5" i="2"/>
  <c r="F12" i="2"/>
  <c r="D17" i="2"/>
  <c r="D54" i="2"/>
  <c r="G54" i="2" s="1"/>
  <c r="D31" i="2"/>
  <c r="G31" i="2" s="1"/>
  <c r="D32" i="2"/>
  <c r="G32" i="2" s="1"/>
  <c r="D13" i="2"/>
  <c r="G13" i="2" s="1"/>
  <c r="D20" i="2"/>
  <c r="G20" i="2" s="1"/>
  <c r="D27" i="2"/>
  <c r="G27" i="2" s="1"/>
  <c r="A161" i="2" l="1"/>
  <c r="A151" i="2"/>
  <c r="A138" i="2"/>
  <c r="D25" i="2"/>
  <c r="G25" i="2" s="1"/>
  <c r="G17" i="2"/>
  <c r="F32" i="2"/>
  <c r="F54" i="2"/>
  <c r="F17" i="2"/>
  <c r="F31" i="2"/>
  <c r="F13" i="2"/>
  <c r="F20" i="2"/>
  <c r="F27" i="2"/>
  <c r="D33" i="2"/>
  <c r="G33" i="2" s="1"/>
  <c r="D28" i="2"/>
  <c r="G28" i="2" s="1"/>
  <c r="D40" i="2"/>
  <c r="G40" i="2" s="1"/>
  <c r="D35" i="2"/>
  <c r="G35" i="2" s="1"/>
  <c r="D21" i="2"/>
  <c r="G21" i="2" s="1"/>
  <c r="D39" i="2"/>
  <c r="G39" i="2" s="1"/>
  <c r="D62" i="2"/>
  <c r="G62" i="2" s="1"/>
  <c r="A152" i="2" l="1"/>
  <c r="F25" i="2"/>
  <c r="A139" i="2"/>
  <c r="F138" i="2"/>
  <c r="F33" i="2"/>
  <c r="F62" i="2"/>
  <c r="F40" i="2"/>
  <c r="F39" i="2"/>
  <c r="F21" i="2"/>
  <c r="F28" i="2"/>
  <c r="F35" i="2"/>
  <c r="D29" i="2"/>
  <c r="G29" i="2" s="1"/>
  <c r="D48" i="2"/>
  <c r="G48" i="2" s="1"/>
  <c r="D41" i="2"/>
  <c r="G41" i="2" s="1"/>
  <c r="D47" i="2"/>
  <c r="G47" i="2" s="1"/>
  <c r="D43" i="2"/>
  <c r="G43" i="2" s="1"/>
  <c r="D36" i="2"/>
  <c r="G36" i="2" s="1"/>
  <c r="D70" i="2"/>
  <c r="G70" i="2" s="1"/>
  <c r="A153" i="2" l="1"/>
  <c r="A140" i="2"/>
  <c r="F48" i="2"/>
  <c r="F47" i="2"/>
  <c r="F70" i="2"/>
  <c r="F41" i="2"/>
  <c r="F43" i="2"/>
  <c r="F29" i="2"/>
  <c r="F36" i="2"/>
  <c r="D56" i="2"/>
  <c r="G56" i="2" s="1"/>
  <c r="D51" i="2"/>
  <c r="G51" i="2" s="1"/>
  <c r="D37" i="2"/>
  <c r="G37" i="2" s="1"/>
  <c r="D44" i="2"/>
  <c r="G44" i="2" s="1"/>
  <c r="D55" i="2"/>
  <c r="G55" i="2" s="1"/>
  <c r="D78" i="2"/>
  <c r="G78" i="2" s="1"/>
  <c r="D49" i="2"/>
  <c r="G49" i="2" s="1"/>
  <c r="A141" i="2" l="1"/>
  <c r="F56" i="2"/>
  <c r="F78" i="2"/>
  <c r="F55" i="2"/>
  <c r="F49" i="2"/>
  <c r="F51" i="2"/>
  <c r="F44" i="2"/>
  <c r="F37" i="2"/>
  <c r="D59" i="2"/>
  <c r="G59" i="2" s="1"/>
  <c r="D86" i="2"/>
  <c r="G86" i="2" s="1"/>
  <c r="D52" i="2"/>
  <c r="G52" i="2" s="1"/>
  <c r="D63" i="2"/>
  <c r="G63" i="2" s="1"/>
  <c r="D45" i="2"/>
  <c r="G45" i="2" s="1"/>
  <c r="D64" i="2"/>
  <c r="G64" i="2" s="1"/>
  <c r="D57" i="2"/>
  <c r="G57" i="2" s="1"/>
  <c r="A142" i="2" l="1"/>
  <c r="F64" i="2"/>
  <c r="F86" i="2"/>
  <c r="F63" i="2"/>
  <c r="F57" i="2"/>
  <c r="F45" i="2"/>
  <c r="F59" i="2"/>
  <c r="F52" i="2"/>
  <c r="D94" i="2"/>
  <c r="G94" i="2" s="1"/>
  <c r="D53" i="2"/>
  <c r="G53" i="2" s="1"/>
  <c r="D60" i="2"/>
  <c r="G60" i="2" s="1"/>
  <c r="D67" i="2"/>
  <c r="G67" i="2" s="1"/>
  <c r="D72" i="2"/>
  <c r="G72" i="2" s="1"/>
  <c r="D71" i="2"/>
  <c r="G71" i="2" s="1"/>
  <c r="D65" i="2"/>
  <c r="G65" i="2" s="1"/>
  <c r="A143" i="2" l="1"/>
  <c r="F72" i="2"/>
  <c r="F71" i="2"/>
  <c r="F94" i="2"/>
  <c r="F65" i="2"/>
  <c r="F53" i="2"/>
  <c r="F67" i="2"/>
  <c r="F60" i="2"/>
  <c r="D61" i="2"/>
  <c r="G61" i="2" s="1"/>
  <c r="D73" i="2"/>
  <c r="G73" i="2" s="1"/>
  <c r="D80" i="2"/>
  <c r="G80" i="2" s="1"/>
  <c r="D79" i="2"/>
  <c r="G79" i="2" s="1"/>
  <c r="D75" i="2"/>
  <c r="G75" i="2" s="1"/>
  <c r="D68" i="2"/>
  <c r="G68" i="2" s="1"/>
  <c r="D102" i="2"/>
  <c r="G102" i="2" s="1"/>
  <c r="A144" i="2" l="1"/>
  <c r="F79" i="2"/>
  <c r="F73" i="2"/>
  <c r="F102" i="2"/>
  <c r="F80" i="2"/>
  <c r="F68" i="2"/>
  <c r="F61" i="2"/>
  <c r="F75" i="2"/>
  <c r="D76" i="2"/>
  <c r="G76" i="2" s="1"/>
  <c r="D87" i="2"/>
  <c r="G87" i="2" s="1"/>
  <c r="D81" i="2"/>
  <c r="G81" i="2" s="1"/>
  <c r="D83" i="2"/>
  <c r="G83" i="2" s="1"/>
  <c r="D69" i="2"/>
  <c r="G69" i="2" s="1"/>
  <c r="D110" i="2"/>
  <c r="G110" i="2" s="1"/>
  <c r="D88" i="2"/>
  <c r="G88" i="2" s="1"/>
  <c r="A145" i="2" l="1"/>
  <c r="F110" i="2"/>
  <c r="F87" i="2"/>
  <c r="F88" i="2"/>
  <c r="F81" i="2"/>
  <c r="F76" i="2"/>
  <c r="F69" i="2"/>
  <c r="F83" i="2"/>
  <c r="D118" i="2"/>
  <c r="G118" i="2" s="1"/>
  <c r="D91" i="2"/>
  <c r="G91" i="2" s="1"/>
  <c r="D95" i="2"/>
  <c r="G95" i="2" s="1"/>
  <c r="D96" i="2"/>
  <c r="G96" i="2" s="1"/>
  <c r="D77" i="2"/>
  <c r="G77" i="2" s="1"/>
  <c r="D89" i="2"/>
  <c r="G89" i="2" s="1"/>
  <c r="D84" i="2"/>
  <c r="G84" i="2" s="1"/>
  <c r="F118" i="2" l="1"/>
  <c r="F89" i="2"/>
  <c r="F96" i="2"/>
  <c r="F95" i="2"/>
  <c r="F91" i="2"/>
  <c r="F77" i="2"/>
  <c r="F84" i="2"/>
  <c r="D92" i="2"/>
  <c r="G92" i="2" s="1"/>
  <c r="D85" i="2"/>
  <c r="G85" i="2" s="1"/>
  <c r="D103" i="2"/>
  <c r="G103" i="2" s="1"/>
  <c r="D99" i="2"/>
  <c r="G99" i="2" s="1"/>
  <c r="D97" i="2"/>
  <c r="G97" i="2" s="1"/>
  <c r="D104" i="2"/>
  <c r="G104" i="2" s="1"/>
  <c r="D126" i="2"/>
  <c r="G126" i="2" l="1"/>
  <c r="D134" i="2"/>
  <c r="F97" i="2"/>
  <c r="F104" i="2"/>
  <c r="F126" i="2"/>
  <c r="F103" i="2"/>
  <c r="F92" i="2"/>
  <c r="F85" i="2"/>
  <c r="F99" i="2"/>
  <c r="D112" i="2"/>
  <c r="G112" i="2" s="1"/>
  <c r="D107" i="2"/>
  <c r="G107" i="2" s="1"/>
  <c r="D93" i="2"/>
  <c r="G93" i="2" s="1"/>
  <c r="D105" i="2"/>
  <c r="G105" i="2" s="1"/>
  <c r="D111" i="2"/>
  <c r="G111" i="2" s="1"/>
  <c r="D100" i="2"/>
  <c r="G100" i="2" s="1"/>
  <c r="D142" i="2" l="1"/>
  <c r="D150" i="2" s="1"/>
  <c r="G134" i="2"/>
  <c r="F134" i="2"/>
  <c r="F111" i="2"/>
  <c r="F105" i="2"/>
  <c r="F112" i="2"/>
  <c r="F93" i="2"/>
  <c r="F100" i="2"/>
  <c r="F107" i="2"/>
  <c r="D108" i="2"/>
  <c r="G108" i="2" s="1"/>
  <c r="D115" i="2"/>
  <c r="G115" i="2" s="1"/>
  <c r="D113" i="2"/>
  <c r="G113" i="2" s="1"/>
  <c r="D119" i="2"/>
  <c r="G119" i="2" s="1"/>
  <c r="D101" i="2"/>
  <c r="G101" i="2" s="1"/>
  <c r="D120" i="2"/>
  <c r="G120" i="2" s="1"/>
  <c r="G150" i="2" l="1"/>
  <c r="D158" i="2"/>
  <c r="F150" i="2"/>
  <c r="G142" i="2"/>
  <c r="F142" i="2"/>
  <c r="F119" i="2"/>
  <c r="F113" i="2"/>
  <c r="F120" i="2"/>
  <c r="F115" i="2"/>
  <c r="F101" i="2"/>
  <c r="F108" i="2"/>
  <c r="D128" i="2"/>
  <c r="D127" i="2"/>
  <c r="D123" i="2"/>
  <c r="D121" i="2"/>
  <c r="G121" i="2" s="1"/>
  <c r="D109" i="2"/>
  <c r="G109" i="2" s="1"/>
  <c r="D116" i="2"/>
  <c r="G116" i="2" s="1"/>
  <c r="G158" i="2" l="1"/>
  <c r="F158" i="2"/>
  <c r="G128" i="2"/>
  <c r="D136" i="2"/>
  <c r="G127" i="2"/>
  <c r="D135" i="2"/>
  <c r="G123" i="2"/>
  <c r="D131" i="2"/>
  <c r="F127" i="2"/>
  <c r="F121" i="2"/>
  <c r="F128" i="2"/>
  <c r="F123" i="2"/>
  <c r="F109" i="2"/>
  <c r="F116" i="2"/>
  <c r="D124" i="2"/>
  <c r="D129" i="2"/>
  <c r="D117" i="2"/>
  <c r="G117" i="2" s="1"/>
  <c r="G135" i="2" l="1"/>
  <c r="D143" i="2"/>
  <c r="D151" i="2" s="1"/>
  <c r="F135" i="2"/>
  <c r="G129" i="2"/>
  <c r="D137" i="2"/>
  <c r="D144" i="2"/>
  <c r="D152" i="2" s="1"/>
  <c r="G136" i="2"/>
  <c r="F136" i="2"/>
  <c r="G131" i="2"/>
  <c r="D139" i="2"/>
  <c r="F131" i="2"/>
  <c r="G124" i="2"/>
  <c r="D132" i="2"/>
  <c r="F129" i="2"/>
  <c r="F124" i="2"/>
  <c r="F117" i="2"/>
  <c r="D125" i="2"/>
  <c r="G152" i="2" l="1"/>
  <c r="D160" i="2"/>
  <c r="F152" i="2"/>
  <c r="G151" i="2"/>
  <c r="D159" i="2"/>
  <c r="F151" i="2"/>
  <c r="G144" i="2"/>
  <c r="F144" i="2"/>
  <c r="G143" i="2"/>
  <c r="F143" i="2"/>
  <c r="G137" i="2"/>
  <c r="D145" i="2"/>
  <c r="D153" i="2" s="1"/>
  <c r="F137" i="2"/>
  <c r="G139" i="2"/>
  <c r="F139" i="2"/>
  <c r="G125" i="2"/>
  <c r="D133" i="2"/>
  <c r="D140" i="2"/>
  <c r="G132" i="2"/>
  <c r="F132" i="2"/>
  <c r="F125" i="2"/>
  <c r="G153" i="2" l="1"/>
  <c r="D161" i="2"/>
  <c r="F153" i="2"/>
  <c r="G160" i="2"/>
  <c r="F160" i="2"/>
  <c r="G159" i="2"/>
  <c r="F159" i="2"/>
  <c r="G145" i="2"/>
  <c r="F145" i="2"/>
  <c r="G140" i="2"/>
  <c r="F140" i="2"/>
  <c r="G133" i="2"/>
  <c r="D141" i="2"/>
  <c r="F133" i="2"/>
  <c r="G161" i="2" l="1"/>
  <c r="F161" i="2"/>
  <c r="G141" i="2"/>
  <c r="F141" i="2"/>
</calcChain>
</file>

<file path=xl/sharedStrings.xml><?xml version="1.0" encoding="utf-8"?>
<sst xmlns="http://schemas.openxmlformats.org/spreadsheetml/2006/main" count="991" uniqueCount="204">
  <si>
    <t>五術基礎</t>
  </si>
  <si>
    <t>道教內秘</t>
  </si>
  <si>
    <t>紫微斗數</t>
  </si>
  <si>
    <t>符咒基礎</t>
  </si>
  <si>
    <t>道教史</t>
  </si>
  <si>
    <t>筋絡按摩</t>
  </si>
  <si>
    <t>易經基礎</t>
  </si>
  <si>
    <t>人相學</t>
  </si>
  <si>
    <t>w01 2023/10/14-15</t>
  </si>
  <si>
    <t>w02 2023/10/21-22</t>
  </si>
  <si>
    <t>w03 2023/10/28-29</t>
  </si>
  <si>
    <t>w04 2023/11/04-05</t>
  </si>
  <si>
    <t>w05 2023/11/11-12</t>
  </si>
  <si>
    <t>w06 2023/11/18-19</t>
  </si>
  <si>
    <t>w07 2023/11/25-26</t>
  </si>
  <si>
    <t>w08 2023/12/02-03</t>
  </si>
  <si>
    <t>誦經科儀</t>
  </si>
  <si>
    <t>Watch1</t>
  </si>
  <si>
    <t>Watch</t>
  </si>
  <si>
    <t>Watch2</t>
  </si>
  <si>
    <t>Watch3</t>
  </si>
  <si>
    <t>w09 2023/12/09-10</t>
  </si>
  <si>
    <t>w10 2023/12/16-17</t>
  </si>
  <si>
    <t>w11 2023/12/23-24</t>
  </si>
  <si>
    <t>w12 2023/12/30-31</t>
  </si>
  <si>
    <t>w13 2024/01/06-07</t>
  </si>
  <si>
    <t>w14 2024/01/13-14</t>
  </si>
  <si>
    <t>w15 2024/01/20-21</t>
  </si>
  <si>
    <t>w16 2024/01/27-28</t>
  </si>
  <si>
    <t>學期</t>
  </si>
  <si>
    <t>課程</t>
  </si>
  <si>
    <t>日期</t>
  </si>
  <si>
    <t>週次</t>
  </si>
  <si>
    <t>週六、日</t>
  </si>
  <si>
    <t>六</t>
  </si>
  <si>
    <t>日</t>
  </si>
  <si>
    <t>folder path</t>
  </si>
  <si>
    <t>跨年放假</t>
  </si>
  <si>
    <t>選舉日</t>
  </si>
  <si>
    <t>表示該節課老師請假，或者放假，故無上課影片。</t>
  </si>
  <si>
    <t>骨相禁攝影</t>
  </si>
  <si>
    <t>Calendar</t>
  </si>
  <si>
    <t>w01 2024/03/02-03</t>
  </si>
  <si>
    <t>w02 2024/03/09-10</t>
  </si>
  <si>
    <t>w03 2024/03/16-17</t>
  </si>
  <si>
    <t>w04 2024/03/23-24</t>
  </si>
  <si>
    <t>w05 2024/03/30-31</t>
  </si>
  <si>
    <t>w06 2024/04/06-07</t>
  </si>
  <si>
    <t>w07 2024/04/13-14</t>
  </si>
  <si>
    <t>w08 2024/04/20-21</t>
  </si>
  <si>
    <t>w09 2024/04/27-28</t>
  </si>
  <si>
    <t>w10 2024/05/04-05</t>
  </si>
  <si>
    <t>w11 2024/05/11-12</t>
  </si>
  <si>
    <t>w12 2024/05/18-19</t>
  </si>
  <si>
    <t>w13 2024/05/25-26</t>
  </si>
  <si>
    <t>w14 2024/06/01-02</t>
  </si>
  <si>
    <t>w15 2024/06/08-09</t>
  </si>
  <si>
    <t>w16 2024/06/15-16</t>
  </si>
  <si>
    <t>表示該節課老師請假、禁止攝影或者放假，故無上課影片。</t>
  </si>
  <si>
    <t>學期 112-1</t>
  </si>
  <si>
    <t>學期 112-2</t>
  </si>
  <si>
    <t>清明連假</t>
  </si>
  <si>
    <t>端午連假</t>
  </si>
  <si>
    <t>w17 2024/06/22-23</t>
  </si>
  <si>
    <t>w18 2024/06/29-30</t>
  </si>
  <si>
    <t>神道指歸</t>
  </si>
  <si>
    <t>龍門丹道</t>
  </si>
  <si>
    <t>道教哲學</t>
  </si>
  <si>
    <t>易經論證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</si>
  <si>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</si>
  <si>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</si>
  <si>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</si>
  <si>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</si>
  <si>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</si>
  <si>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</si>
  <si>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</si>
  <si>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</si>
  <si>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</si>
  <si>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</si>
  <si>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</si>
  <si>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</si>
  <si>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</si>
  <si>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</si>
  <si>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</si>
  <si>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</si>
  <si>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學期 113-1</t>
  </si>
  <si>
    <t>W01 2024/09/21</t>
  </si>
  <si>
    <t>W02 2024/09/28</t>
  </si>
  <si>
    <t>W03 2024/10/05</t>
  </si>
  <si>
    <t>W04 2024/10/12</t>
  </si>
  <si>
    <t>W05 2024/10/19</t>
  </si>
  <si>
    <t>W06 2024/10/26</t>
  </si>
  <si>
    <t>W07 2024/11/02</t>
  </si>
  <si>
    <t>W08 2024/11/09</t>
  </si>
  <si>
    <t>W09 2024/11/16</t>
  </si>
  <si>
    <t>W10 2024/11/23</t>
  </si>
  <si>
    <t>W11 2024/11/30</t>
  </si>
  <si>
    <t>W12 2024/12/07</t>
  </si>
  <si>
    <t>W13 2024/12/14</t>
  </si>
  <si>
    <t>W14 2024/12/21</t>
  </si>
  <si>
    <t>W15 2024/12/28</t>
  </si>
  <si>
    <t>W16 2025/01/04</t>
  </si>
  <si>
    <t>道教醫學</t>
  </si>
  <si>
    <t>其它</t>
  </si>
  <si>
    <t>院長講話</t>
  </si>
  <si>
    <t>八字奇門</t>
  </si>
  <si>
    <t>道教經典</t>
  </si>
  <si>
    <t>科儀唱頌</t>
  </si>
  <si>
    <t>道教醫學補充</t>
  </si>
  <si>
    <t>神道指歸課後閒聊</t>
  </si>
  <si>
    <t>Watch Part2</t>
  </si>
  <si>
    <t>Watch Part1</t>
  </si>
  <si>
    <t>W17 2025/01/11</t>
  </si>
  <si>
    <t>W18 2025/01/18</t>
  </si>
  <si>
    <t>龍門丹道艾灸補氣</t>
  </si>
  <si>
    <t>Part1</t>
  </si>
  <si>
    <t>Part2</t>
  </si>
  <si>
    <t>W17</t>
  </si>
  <si>
    <t>W18</t>
  </si>
  <si>
    <t>W01 2025/02/22</t>
  </si>
  <si>
    <t>W02 2025/03/01</t>
  </si>
  <si>
    <t>W03 2025/03/08</t>
  </si>
  <si>
    <t>W04 2025/03/15</t>
  </si>
  <si>
    <t>W05 2025/03/22</t>
  </si>
  <si>
    <t>W06 2025/03/29</t>
  </si>
  <si>
    <t>W07 2025/04/05</t>
  </si>
  <si>
    <t>W08 2025/04/12</t>
  </si>
  <si>
    <t>W09 2025/04/19</t>
  </si>
  <si>
    <t>W10 2025/04/26</t>
  </si>
  <si>
    <t>W11 2025/05/03</t>
  </si>
  <si>
    <t>W12 2025/05/10</t>
  </si>
  <si>
    <t>W13 2025/05/17</t>
  </si>
  <si>
    <t>W14 2025/05/24</t>
  </si>
  <si>
    <t>W15 2025/05/31</t>
  </si>
  <si>
    <t>W16 2025/06/07</t>
  </si>
  <si>
    <t>W17 2025/06/14</t>
  </si>
  <si>
    <t>W18 2025/06/21</t>
  </si>
  <si>
    <t>學期 113-2</t>
  </si>
  <si>
    <t>二二八連假</t>
  </si>
  <si>
    <t>學期 114-1</t>
  </si>
  <si>
    <t>114-1</t>
  </si>
  <si>
    <t>道教研究專題</t>
  </si>
  <si>
    <t>奇門遁甲</t>
  </si>
  <si>
    <t>玄空風水</t>
  </si>
  <si>
    <t>擇日學</t>
  </si>
  <si>
    <t>道醫</t>
  </si>
  <si>
    <t>陽宅</t>
  </si>
  <si>
    <t>八字論證</t>
  </si>
  <si>
    <t>W19</t>
  </si>
  <si>
    <t>W20</t>
  </si>
  <si>
    <t>W01 2025/09/13</t>
  </si>
  <si>
    <t>W01 2025/09/14</t>
  </si>
  <si>
    <t>W02 2025/09/20</t>
  </si>
  <si>
    <t>W02 2025/09/21</t>
  </si>
  <si>
    <t>W03 2025/09/27</t>
  </si>
  <si>
    <t>W03 2025/09/28</t>
  </si>
  <si>
    <t>W04 2025/10/04</t>
  </si>
  <si>
    <t>W04 2025/10/05</t>
  </si>
  <si>
    <t>W05 2025/10/11</t>
  </si>
  <si>
    <t>W05 2025/10/12</t>
  </si>
  <si>
    <t>W06 2025/10/18</t>
  </si>
  <si>
    <t>W06 2025/10/19</t>
  </si>
  <si>
    <t>W07 2025/10/25</t>
  </si>
  <si>
    <t>W07 2025/10/26</t>
  </si>
  <si>
    <t>W08 2025/11/01</t>
  </si>
  <si>
    <t>W08 2025/11/02</t>
  </si>
  <si>
    <t>W09 2025/11/08</t>
  </si>
  <si>
    <t>W09 2025/11/09</t>
  </si>
  <si>
    <t>W10 2025/11/15</t>
  </si>
  <si>
    <t>W10 2025/11/16</t>
  </si>
  <si>
    <t>W11 2025/11/22</t>
  </si>
  <si>
    <t>W11 2025/11/23</t>
  </si>
  <si>
    <t>W12 2025/11/29</t>
  </si>
  <si>
    <t>W12 2025/11/30</t>
  </si>
  <si>
    <t>W13 2025/12/06</t>
  </si>
  <si>
    <t>W13 2025/12/07</t>
  </si>
  <si>
    <t>W14 2025/12/13</t>
  </si>
  <si>
    <t>W14 2025/12/14</t>
  </si>
  <si>
    <t>W15 2025/12/20</t>
  </si>
  <si>
    <t>W15 2025/12/21</t>
  </si>
  <si>
    <t>W16 2025/12/27</t>
  </si>
  <si>
    <t>W16 2025/12/28</t>
  </si>
  <si>
    <t>W17 2026/01/03</t>
  </si>
  <si>
    <t>W17 2026/01/04</t>
  </si>
  <si>
    <t>W18 2026/01/10</t>
  </si>
  <si>
    <t>W18 2026/01/11</t>
  </si>
  <si>
    <t>W19 2026/01/17</t>
  </si>
  <si>
    <t>W19 2026/01/18</t>
  </si>
  <si>
    <t>W20 2026/01/24</t>
  </si>
  <si>
    <t>W20 2026/01/25</t>
  </si>
  <si>
    <t>Sat/Sun</t>
  </si>
  <si>
    <t>孔子誕辰紀念</t>
  </si>
  <si>
    <t>中秋連假</t>
  </si>
  <si>
    <t>國慶連假</t>
  </si>
  <si>
    <t>光復連假</t>
  </si>
  <si>
    <t>陰陽學</t>
  </si>
  <si>
    <t>雅玲師姐讀書會</t>
  </si>
  <si>
    <t>雅玲師姐讀書會</t>
    <phoneticPr fontId="12" type="noConversion"/>
  </si>
  <si>
    <t>Watch</t>
    <phoneticPr fontId="12" type="noConversion"/>
  </si>
  <si>
    <t>讀書會暫停</t>
  </si>
  <si>
    <t>讀書會暫停</t>
    <phoneticPr fontId="12" type="noConversion"/>
  </si>
  <si>
    <r>
      <t>Watch</t>
    </r>
    <r>
      <rPr>
        <u/>
        <sz val="12"/>
        <color theme="10"/>
        <rFont val="新細明體"/>
        <family val="1"/>
        <scheme val="minor"/>
      </rPr>
      <t>1</t>
    </r>
    <phoneticPr fontId="12" type="noConversion"/>
  </si>
  <si>
    <r>
      <t>Watch</t>
    </r>
    <r>
      <rPr>
        <u/>
        <sz val="12"/>
        <color theme="10"/>
        <rFont val="新細明體"/>
        <family val="1"/>
        <scheme val="minor"/>
      </rPr>
      <t>2</t>
    </r>
    <phoneticPr fontId="12" type="noConversion"/>
  </si>
  <si>
    <r>
      <t>W</t>
    </r>
    <r>
      <rPr>
        <u/>
        <sz val="12"/>
        <color theme="10"/>
        <rFont val="新細明體"/>
        <family val="1"/>
        <scheme val="minor"/>
      </rPr>
      <t>atch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</si>
</sst>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4">
    <font>
      <sz val="12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2"/>
      <color theme="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sz val="12"/>
      <color theme="0" tint="-0.14999847407452621"/>
      <name val="新細明體"/>
      <family val="2"/>
      <scheme val="minor"/>
    </font>
    <font>
      <sz val="8"/>
      <name val="新細明體"/>
      <family val="2"/>
      <scheme val="minor"/>
    </font>
    <font>
      <sz val="12"/>
      <color theme="0" tint="-0.34998626667073579"/>
      <name val="新細明體"/>
      <family val="2"/>
      <scheme val="minor"/>
    </font>
    <font>
      <b/>
      <sz val="12"/>
      <color theme="0"/>
      <name val="新細明體"/>
      <family val="2"/>
      <scheme val="minor"/>
    </font>
    <font>
      <sz val="12"/>
      <color theme="0" tint="-0.499984740745262"/>
      <name val="新細明體"/>
      <family val="2"/>
      <scheme val="minor"/>
    </font>
    <font>
      <sz val="12"/>
      <name val="新細明體"/>
      <family val="2"/>
      <scheme val="minor"/>
    </font>
    <font>
      <sz val="11"/>
      <color rgb="FF454545"/>
      <name val="Courier New"/>
      <family val="3"/>
    </font>
    <font>
      <sz val="9"/>
      <name val="新細明體"/>
      <family val="3"/>
      <charset val="136"/>
      <scheme val="minor"/>
    </font>
    <font>
      <u/>
      <sz val="12"/>
      <color theme="10"/>
      <name val="新細明體"/>
      <family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" fillId="5" borderId="0" applyNumberFormat="0" applyBorder="0" applyAlignment="0" applyProtection="0"/>
    <xf numFmtId="0" fontId="1" fillId="8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4" fillId="0" borderId="8" xfId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2" xfId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0" borderId="1" xfId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7" xfId="2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5" xfId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vertical="center"/>
    </xf>
    <xf numFmtId="0" fontId="2" fillId="7" borderId="1" xfId="2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5" xfId="0" applyFill="1" applyBorder="1" applyAlignment="1">
      <alignment vertical="center"/>
    </xf>
    <xf numFmtId="0" fontId="0" fillId="7" borderId="7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4" fillId="0" borderId="0" xfId="1" applyFill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4" fillId="0" borderId="3" xfId="1" applyFill="1" applyBorder="1" applyAlignment="1">
      <alignment horizontal="center" vertical="center"/>
    </xf>
    <xf numFmtId="0" fontId="0" fillId="3" borderId="1" xfId="0" applyFill="1" applyBorder="1"/>
    <xf numFmtId="0" fontId="3" fillId="9" borderId="1" xfId="3" applyFont="1" applyFill="1" applyBorder="1" applyAlignment="1">
      <alignment horizontal="center" vertical="center"/>
    </xf>
    <xf numFmtId="0" fontId="4" fillId="7" borderId="1" xfId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1" fillId="0" borderId="0" xfId="0" applyFont="1"/>
    <xf numFmtId="0" fontId="3" fillId="2" borderId="0" xfId="0" applyFont="1" applyFill="1"/>
    <xf numFmtId="0" fontId="0" fillId="0" borderId="1" xfId="0" applyBorder="1" applyAlignment="1">
      <alignment horizontal="left" vertical="center"/>
    </xf>
    <xf numFmtId="0" fontId="3" fillId="10" borderId="1" xfId="3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vertical="center"/>
    </xf>
    <xf numFmtId="0" fontId="8" fillId="7" borderId="1" xfId="1" applyFont="1" applyFill="1" applyBorder="1" applyAlignment="1">
      <alignment horizontal="center" vertical="center"/>
    </xf>
    <xf numFmtId="0" fontId="0" fillId="7" borderId="0" xfId="0" applyFill="1"/>
    <xf numFmtId="0" fontId="4" fillId="0" borderId="2" xfId="1" applyBorder="1" applyAlignment="1">
      <alignment horizontal="center" vertical="center"/>
    </xf>
  </cellXfs>
  <cellStyles count="4">
    <cellStyle name="20% - 輔色1" xfId="2" builtinId="30"/>
    <cellStyle name="60% - 輔色3" xfId="3" builtinId="40"/>
    <cellStyle name="一般" xfId="0" builtinId="0"/>
    <cellStyle name="超連結" xfId="1" builtinId="8"/>
  </cellStyles>
  <dxfs count="74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E4F6BD-27E5-42EE-BFF5-7C965FA4B9DF}" name="Table3" displayName="Table3" ref="A1:J31" totalsRowShown="0" headerRowDxfId="58" dataDxfId="56" headerRowBorderDxfId="57" tableBorderDxfId="55">
  <autoFilter ref="A1:J31" xr:uid="{68E4F6BD-27E5-42EE-BFF5-7C965FA4B9DF}"/>
  <tableColumns count="10">
    <tableColumn id="1" xr3:uid="{9F72FF59-FED3-4E9F-8074-B86491A6E117}" name="學期 112-1" dataDxfId="54"/>
    <tableColumn id="2" xr3:uid="{76D26751-9738-4275-B729-F9C91618B40C}" name="五術基礎" dataDxfId="53"/>
    <tableColumn id="3" xr3:uid="{284B5876-7AA8-4920-8049-F0AB1D727860}" name="道教內秘" dataDxfId="52"/>
    <tableColumn id="4" xr3:uid="{E7463CD4-3FE1-4511-BC2B-52BCCF377701}" name="紫微斗數" dataDxfId="51"/>
    <tableColumn id="5" xr3:uid="{0C508703-3885-45D6-B6EE-06A5453E0DA3}" name="符咒基礎" dataDxfId="50"/>
    <tableColumn id="6" xr3:uid="{88BDEC65-1275-4976-8B39-A002173B9A99}" name="道教史" dataDxfId="49"/>
    <tableColumn id="7" xr3:uid="{C9AD6766-09D8-405C-892C-29E5074948D2}" name="筋絡按摩" dataDxfId="48"/>
    <tableColumn id="8" xr3:uid="{0551AEA9-7720-4A4C-8437-DC02E18F6203}" name="易經基礎" dataDxfId="47"/>
    <tableColumn id="9" xr3:uid="{4B363859-EB35-4FE7-B1BD-D6E9EE02B32B}" name="人相學" dataDxfId="46"/>
    <tableColumn id="10" xr3:uid="{0BDCFA4C-8C77-4BA3-981C-CA59D43B7E4D}" name="誦經科儀" dataDxfId="4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A9DADB-5C6B-4B21-9D75-B247E0FBEE91}" name="Table1" displayName="Table1" ref="A1:J24" totalsRowShown="0" headerRowDxfId="44" dataDxfId="43" tableBorderDxfId="42">
  <autoFilter ref="A1:J24" xr:uid="{F9A9DADB-5C6B-4B21-9D75-B247E0FBEE91}"/>
  <tableColumns count="10">
    <tableColumn id="1" xr3:uid="{57FF7AB9-138B-471B-A95F-AC6C5FA3DDC1}" name="學期 112-2" dataDxfId="41"/>
    <tableColumn id="2" xr3:uid="{18309ACF-F057-447F-9200-5F2E485488D9}" name="五術基礎" dataDxfId="40"/>
    <tableColumn id="3" xr3:uid="{2D56AEAA-E3EA-45B8-A360-9F80F7773833}" name="道教內秘" dataDxfId="39"/>
    <tableColumn id="4" xr3:uid="{717AC26C-FA86-4BD3-917B-A2D387CEB346}" name="紫微斗數" dataDxfId="38"/>
    <tableColumn id="5" xr3:uid="{68D1FB5C-0FC4-466A-9FB3-BF893BD2BCC5}" name="符咒基礎" dataDxfId="37"/>
    <tableColumn id="6" xr3:uid="{91261B2C-0B6D-4265-AE70-87FFD9EE8544}" name="道教史" dataDxfId="36"/>
    <tableColumn id="7" xr3:uid="{4AF8AFAC-24B6-45CB-9DB5-B18DC6F74D08}" name="筋絡按摩" dataDxfId="35"/>
    <tableColumn id="8" xr3:uid="{CC946246-2AE8-483B-BF90-D7171437970B}" name="易經基礎" dataDxfId="34"/>
    <tableColumn id="9" xr3:uid="{440E7BCA-C9CB-4038-9053-CC0D3BCDF79B}" name="人相學" dataDxfId="33"/>
    <tableColumn id="10" xr3:uid="{A1590B8E-89CE-4713-AC70-2F285551B58E}" name="誦經科儀" dataDxfId="32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B252BC-24D6-4EE7-A535-0C4FFB91AEA8}" name="Table2" displayName="Table2" ref="A1:K22" totalsRowShown="0" headerRowDxfId="31" dataDxfId="29" headerRowBorderDxfId="30" tableBorderDxfId="28" totalsRowBorderDxfId="27">
  <autoFilter ref="A1:K22" xr:uid="{98B252BC-24D6-4EE7-A535-0C4FFB91AEA8}"/>
  <tableColumns count="11">
    <tableColumn id="1" xr3:uid="{5AB3D746-5212-4D74-9C0C-0C72A4BF7EB9}" name="學期 113-1" dataDxfId="26"/>
    <tableColumn id="2" xr3:uid="{D785DCF6-2578-4B10-A916-054B8D648D45}" name="八字奇門" dataDxfId="25"/>
    <tableColumn id="3" xr3:uid="{8A728058-D66E-4109-9737-86E188FC8A8A}" name="神道指歸" dataDxfId="24"/>
    <tableColumn id="4" xr3:uid="{6FED0106-5BC0-4681-8043-9B23959ECD54}" name="龍門丹道" dataDxfId="23"/>
    <tableColumn id="5" xr3:uid="{E646885F-F68D-461A-A1B4-2381184485FF}" name="道教經典" dataDxfId="22"/>
    <tableColumn id="6" xr3:uid="{58F2FEDE-AC04-4F87-BA53-CB2F82FF92B3}" name="道教哲學" dataDxfId="21"/>
    <tableColumn id="7" xr3:uid="{08F60DF7-0869-4408-BA2E-3A4B4EF839D5}" name="道教醫學" dataDxfId="20"/>
    <tableColumn id="8" xr3:uid="{EA04B5D1-442A-456E-B1F3-EE85CD50BE54}" name="紫微斗數" dataDxfId="19"/>
    <tableColumn id="9" xr3:uid="{6560F4D9-47C9-48E2-ADEE-F2ABA4DE557D}" name="易經論證" dataDxfId="18"/>
    <tableColumn id="10" xr3:uid="{41B2D6C9-B186-428E-BA1B-8A8E4972ED32}" name="科儀唱頌" dataDxfId="17"/>
    <tableColumn id="12" xr3:uid="{4CD7E84A-D99D-40A7-B7B2-C7B3CD603352}" name="其它" dataDxfId="1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BDF57B-C7F3-4021-BA02-A8B8028FF5D3}" name="Table25" displayName="Table25" ref="A1:K20" totalsRowShown="0" headerRowDxfId="15" dataDxfId="13" headerRowBorderDxfId="14" tableBorderDxfId="12" totalsRowBorderDxfId="11">
  <autoFilter ref="A1:K20" xr:uid="{98B252BC-24D6-4EE7-A535-0C4FFB91AEA8}"/>
  <tableColumns count="11">
    <tableColumn id="1" xr3:uid="{36056385-230B-4D8A-80E8-6019A872C500}" name="學期 113-2" dataDxfId="10"/>
    <tableColumn id="2" xr3:uid="{A4715D64-A1B3-4C60-BF38-5AC8C6B391B8}" name="八字奇門" dataDxfId="9"/>
    <tableColumn id="3" xr3:uid="{34ED7596-DBAB-47E8-A314-E5F6E78899BE}" name="神道指歸" dataDxfId="8"/>
    <tableColumn id="4" xr3:uid="{972EF59F-84A9-4998-A25C-89B674D49842}" name="龍門丹道" dataDxfId="7"/>
    <tableColumn id="5" xr3:uid="{4DED2C67-0079-4D7F-AA74-15D4865811A4}" name="道教經典" dataDxfId="6"/>
    <tableColumn id="6" xr3:uid="{B6C6BB6A-7A93-4904-BA5B-EAA0FCB4731B}" name="道教哲學" dataDxfId="5"/>
    <tableColumn id="7" xr3:uid="{9E73EF3C-4727-4705-A922-48D91C09886E}" name="道教醫學" dataDxfId="4"/>
    <tableColumn id="8" xr3:uid="{8EE92964-951D-425A-B90B-D392602A2497}" name="紫微斗數" dataDxfId="3"/>
    <tableColumn id="9" xr3:uid="{9119B58C-A614-49D4-8360-8A7818151AAF}" name="易經論證" dataDxfId="2"/>
    <tableColumn id="10" xr3:uid="{4A16C2ED-4C8B-4543-9256-0BEA15FFBD7B}" name="科儀唱頌" dataDxfId="1"/>
    <tableColumn id="12" xr3:uid="{1859D892-2C00-4BB7-ABC3-2369794DCB42}" name="其它" dataDxfId="0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9FAD5D-3832-4CAE-8DA9-AD99F13ABE83}" name="Table256" displayName="Table256" ref="A1:J23" totalsRowShown="0" headerRowDxfId="73" dataDxfId="71" headerRowBorderDxfId="72" tableBorderDxfId="70" totalsRowBorderDxfId="69">
  <autoFilter ref="A1:J23" xr:uid="{98B252BC-24D6-4EE7-A535-0C4FFB91AEA8}"/>
  <tableColumns count="10">
    <tableColumn id="1" xr3:uid="{0E3C7F4A-EF21-4018-9FDC-6D9E3BFDE96D}" name="學期 114-1" dataDxfId="68"/>
    <tableColumn id="2" xr3:uid="{13FB1311-3DAB-458F-918D-7B226DEE309B}" name="道教研究專題" dataDxfId="67"/>
    <tableColumn id="3" xr3:uid="{6039815A-D72E-49FE-B2D5-4C729C74C220}" name="奇門遁甲" dataDxfId="66"/>
    <tableColumn id="4" xr3:uid="{35A4C202-E4CC-4249-9EDA-5AC728E47053}" name="玄空風水" dataDxfId="65"/>
    <tableColumn id="5" xr3:uid="{8319C034-1BE0-4BCA-B1D6-4BD4D69EEE28}" name="擇日學" dataDxfId="64"/>
    <tableColumn id="6" xr3:uid="{AB598FAF-532D-4BBF-9B79-8CF9766FF1A5}" name="道醫" dataDxfId="63"/>
    <tableColumn id="7" xr3:uid="{57C5313A-2068-410A-9056-79F41E849E45}" name="陰陽學" dataDxfId="62"/>
    <tableColumn id="8" xr3:uid="{64548B97-DD87-4663-916B-51B306DC7BC4}" name="八字論證" dataDxfId="61"/>
    <tableColumn id="9" xr3:uid="{44FD202D-0136-4EC5-8E55-19217AA3D089}" name="易經論證" dataDxfId="60"/>
    <tableColumn id="12" xr3:uid="{6A3C8137-8B17-4866-9188-221728B64999}" name="其它" dataDxfId="59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Y2V8zPRDnNE" TargetMode="External"/><Relationship Id="rId21" Type="http://schemas.openxmlformats.org/officeDocument/2006/relationships/hyperlink" Target="https://youtu.be/HjsIlMQT-Dc" TargetMode="External"/><Relationship Id="rId42" Type="http://schemas.openxmlformats.org/officeDocument/2006/relationships/hyperlink" Target="https://www.youtube.com/watch?v=bKQ6iAwc5Nw" TargetMode="External"/><Relationship Id="rId47" Type="http://schemas.openxmlformats.org/officeDocument/2006/relationships/hyperlink" Target="https://www.youtube.com/watch?v=VTND2_sjBC4" TargetMode="External"/><Relationship Id="rId63" Type="http://schemas.openxmlformats.org/officeDocument/2006/relationships/hyperlink" Target="https://www.youtube.com/watch?v=Aq0zFA-hcKk" TargetMode="External"/><Relationship Id="rId68" Type="http://schemas.openxmlformats.org/officeDocument/2006/relationships/hyperlink" Target="https://www.youtube.com/watch?v=R4vD1aQwEtQ" TargetMode="External"/><Relationship Id="rId84" Type="http://schemas.openxmlformats.org/officeDocument/2006/relationships/hyperlink" Target="https://www.youtube.com/watch?v=vp7qXiaTmxU" TargetMode="External"/><Relationship Id="rId89" Type="http://schemas.openxmlformats.org/officeDocument/2006/relationships/hyperlink" Target="https://www.youtube.com/watch?v=JqL2L3wx_fo" TargetMode="External"/><Relationship Id="rId16" Type="http://schemas.openxmlformats.org/officeDocument/2006/relationships/hyperlink" Target="https://youtu.be/YSJ1vTHVFGQ" TargetMode="External"/><Relationship Id="rId11" Type="http://schemas.openxmlformats.org/officeDocument/2006/relationships/hyperlink" Target="https://youtu.be/aS-VzchfaOo" TargetMode="External"/><Relationship Id="rId32" Type="http://schemas.openxmlformats.org/officeDocument/2006/relationships/hyperlink" Target="https://youtu.be/QKDA4pRqpvo" TargetMode="External"/><Relationship Id="rId37" Type="http://schemas.openxmlformats.org/officeDocument/2006/relationships/hyperlink" Target="https://www.youtube.com/watch?v=XNZsHzhKypU" TargetMode="External"/><Relationship Id="rId53" Type="http://schemas.openxmlformats.org/officeDocument/2006/relationships/hyperlink" Target="https://www.youtube.com/watch?v=vKuScKEeUmA" TargetMode="External"/><Relationship Id="rId58" Type="http://schemas.openxmlformats.org/officeDocument/2006/relationships/hyperlink" Target="https://www.youtube.com/watch?v=3P8Ihp1-9y8" TargetMode="External"/><Relationship Id="rId74" Type="http://schemas.openxmlformats.org/officeDocument/2006/relationships/hyperlink" Target="https://www.youtube.com/watch?v=lRLZimXhBgY&amp;list=PLIFQENMARl03RwUlJd_nX05BIJm06WSDV&amp;index=3" TargetMode="External"/><Relationship Id="rId79" Type="http://schemas.openxmlformats.org/officeDocument/2006/relationships/hyperlink" Target="https://www.youtube.com/watch?v=UwkZjHSEovI" TargetMode="External"/><Relationship Id="rId5" Type="http://schemas.openxmlformats.org/officeDocument/2006/relationships/hyperlink" Target="https://youtu.be/mCPNHGXoNxE" TargetMode="External"/><Relationship Id="rId90" Type="http://schemas.openxmlformats.org/officeDocument/2006/relationships/hyperlink" Target="https://www.youtube.com/watch?v=s6AnsrPsDXc" TargetMode="External"/><Relationship Id="rId95" Type="http://schemas.openxmlformats.org/officeDocument/2006/relationships/hyperlink" Target="https://www.youtube.com/watch?v=ZUr22Xq32iA" TargetMode="External"/><Relationship Id="rId22" Type="http://schemas.openxmlformats.org/officeDocument/2006/relationships/hyperlink" Target="https://youtu.be/s3qHEVc1GL8" TargetMode="External"/><Relationship Id="rId27" Type="http://schemas.openxmlformats.org/officeDocument/2006/relationships/hyperlink" Target="https://youtu.be/Ber17K3xBTc" TargetMode="External"/><Relationship Id="rId43" Type="http://schemas.openxmlformats.org/officeDocument/2006/relationships/hyperlink" Target="https://www.youtube.com/watch?v=ZEDsk5YPC2g" TargetMode="External"/><Relationship Id="rId48" Type="http://schemas.openxmlformats.org/officeDocument/2006/relationships/hyperlink" Target="https://www.youtube.com/watch?v=oAlWyzSNYQo" TargetMode="External"/><Relationship Id="rId64" Type="http://schemas.openxmlformats.org/officeDocument/2006/relationships/hyperlink" Target="https://www.youtube.com/watch?v=Tixyn2UfPNU" TargetMode="External"/><Relationship Id="rId69" Type="http://schemas.openxmlformats.org/officeDocument/2006/relationships/hyperlink" Target="https://www.youtube.com/watch?v=d0YKS4PUJt0" TargetMode="External"/><Relationship Id="rId80" Type="http://schemas.openxmlformats.org/officeDocument/2006/relationships/hyperlink" Target="https://www.youtube.com/watch?v=FDJ9oSPQGTE" TargetMode="External"/><Relationship Id="rId85" Type="http://schemas.openxmlformats.org/officeDocument/2006/relationships/hyperlink" Target="https://www.youtube.com/watch?v=uY_7iMfuQEY" TargetMode="External"/><Relationship Id="rId3" Type="http://schemas.openxmlformats.org/officeDocument/2006/relationships/hyperlink" Target="https://youtu.be/FkWQLFheD-w" TargetMode="External"/><Relationship Id="rId12" Type="http://schemas.openxmlformats.org/officeDocument/2006/relationships/hyperlink" Target="https://youtu.be/BclHYe6nV34" TargetMode="External"/><Relationship Id="rId17" Type="http://schemas.openxmlformats.org/officeDocument/2006/relationships/hyperlink" Target="https://youtu.be/SqBy1Ipmqsc" TargetMode="External"/><Relationship Id="rId25" Type="http://schemas.openxmlformats.org/officeDocument/2006/relationships/hyperlink" Target="https://youtu.be/fW4GsNGUSh0" TargetMode="External"/><Relationship Id="rId33" Type="http://schemas.openxmlformats.org/officeDocument/2006/relationships/hyperlink" Target="https://youtu.be/ctNLCEhKVxc" TargetMode="External"/><Relationship Id="rId38" Type="http://schemas.openxmlformats.org/officeDocument/2006/relationships/hyperlink" Target="https://www.youtube.com/watch?v=4nEkquMNYKA" TargetMode="External"/><Relationship Id="rId46" Type="http://schemas.openxmlformats.org/officeDocument/2006/relationships/hyperlink" Target="https://www.youtube.com/watch?v=UE8b2uPpI50" TargetMode="External"/><Relationship Id="rId59" Type="http://schemas.openxmlformats.org/officeDocument/2006/relationships/hyperlink" Target="https://www.youtube.com/watch?v=bHwK_kc96MM" TargetMode="External"/><Relationship Id="rId67" Type="http://schemas.openxmlformats.org/officeDocument/2006/relationships/hyperlink" Target="https://www.youtube.com/watch?v=e3mMlaXUVdM" TargetMode="External"/><Relationship Id="rId20" Type="http://schemas.openxmlformats.org/officeDocument/2006/relationships/hyperlink" Target="https://youtu.be/0ljbXy3wU1s" TargetMode="External"/><Relationship Id="rId41" Type="http://schemas.openxmlformats.org/officeDocument/2006/relationships/hyperlink" Target="https://www.youtube.com/watch?v=_TmUA8N_Nsk" TargetMode="External"/><Relationship Id="rId54" Type="http://schemas.openxmlformats.org/officeDocument/2006/relationships/hyperlink" Target="https://www.youtube.com/watch?v=tvSDS32Mr6w" TargetMode="External"/><Relationship Id="rId62" Type="http://schemas.openxmlformats.org/officeDocument/2006/relationships/hyperlink" Target="https://www.youtube.com/watch?v=o6tHUDdYfEE" TargetMode="External"/><Relationship Id="rId70" Type="http://schemas.openxmlformats.org/officeDocument/2006/relationships/hyperlink" Target="https://www.youtube.com/watch?v=PI3q1zJxsjY" TargetMode="External"/><Relationship Id="rId75" Type="http://schemas.openxmlformats.org/officeDocument/2006/relationships/hyperlink" Target="https://www.youtube.com/watch?v=LUNeLm7-2iw&amp;list=PLIFQENMARl03RwUlJd_nX05BIJm06WSDV&amp;index=5" TargetMode="External"/><Relationship Id="rId83" Type="http://schemas.openxmlformats.org/officeDocument/2006/relationships/hyperlink" Target="https://www.youtube.com/watch?v=QSAXBp2t-8M" TargetMode="External"/><Relationship Id="rId88" Type="http://schemas.openxmlformats.org/officeDocument/2006/relationships/hyperlink" Target="https://www.youtube.com/watch?v=NXAzp7TOLbc" TargetMode="External"/><Relationship Id="rId91" Type="http://schemas.openxmlformats.org/officeDocument/2006/relationships/hyperlink" Target="https://www.youtube.com/watch?v=zjap2bzekPw" TargetMode="External"/><Relationship Id="rId96" Type="http://schemas.openxmlformats.org/officeDocument/2006/relationships/hyperlink" Target="https://www.youtube.com/watch?v=ck4PvlHNiTg" TargetMode="External"/><Relationship Id="rId1" Type="http://schemas.openxmlformats.org/officeDocument/2006/relationships/hyperlink" Target="https://youtu.be/gAzMfo0JgUU" TargetMode="External"/><Relationship Id="rId6" Type="http://schemas.openxmlformats.org/officeDocument/2006/relationships/hyperlink" Target="https://youtu.be/sV1hLMFZFhE" TargetMode="External"/><Relationship Id="rId15" Type="http://schemas.openxmlformats.org/officeDocument/2006/relationships/hyperlink" Target="https://youtu.be/0IqBYH80l2s" TargetMode="External"/><Relationship Id="rId23" Type="http://schemas.openxmlformats.org/officeDocument/2006/relationships/hyperlink" Target="https://youtu.be/GuoHsz1ubE0" TargetMode="External"/><Relationship Id="rId28" Type="http://schemas.openxmlformats.org/officeDocument/2006/relationships/hyperlink" Target="https://youtu.be/vLK5nonfnJE" TargetMode="External"/><Relationship Id="rId36" Type="http://schemas.openxmlformats.org/officeDocument/2006/relationships/hyperlink" Target="https://youtu.be/hEvP4uKyc9M" TargetMode="External"/><Relationship Id="rId49" Type="http://schemas.openxmlformats.org/officeDocument/2006/relationships/hyperlink" Target="https://www.youtube.com/watch?v=HyHKPPSzPzk" TargetMode="External"/><Relationship Id="rId57" Type="http://schemas.openxmlformats.org/officeDocument/2006/relationships/hyperlink" Target="https://www.youtube.com/watch?v=FnDihAOcO6U" TargetMode="External"/><Relationship Id="rId10" Type="http://schemas.openxmlformats.org/officeDocument/2006/relationships/hyperlink" Target="https://youtu.be/3i2Z3pZDL9g" TargetMode="External"/><Relationship Id="rId31" Type="http://schemas.openxmlformats.org/officeDocument/2006/relationships/hyperlink" Target="https://youtu.be/6cZgt7CIv4Q" TargetMode="External"/><Relationship Id="rId44" Type="http://schemas.openxmlformats.org/officeDocument/2006/relationships/hyperlink" Target="https://www.youtube.com/watch?v=o_SiUE8K368" TargetMode="External"/><Relationship Id="rId52" Type="http://schemas.openxmlformats.org/officeDocument/2006/relationships/hyperlink" Target="https://www.youtube.com/watch?v=vhceMTgCT1Q" TargetMode="External"/><Relationship Id="rId60" Type="http://schemas.openxmlformats.org/officeDocument/2006/relationships/hyperlink" Target="https://www.youtube.com/watch?v=jgumV64QnFY" TargetMode="External"/><Relationship Id="rId65" Type="http://schemas.openxmlformats.org/officeDocument/2006/relationships/hyperlink" Target="https://www.youtube.com/watch?v=hwkkU5YdO5o" TargetMode="External"/><Relationship Id="rId73" Type="http://schemas.openxmlformats.org/officeDocument/2006/relationships/hyperlink" Target="https://www.youtube.com/watch?v=3zzpXZ0l7FA&amp;list=PLIFQENMARl03RwUlJd_nX05BIJm06WSDV&amp;index=4" TargetMode="External"/><Relationship Id="rId78" Type="http://schemas.openxmlformats.org/officeDocument/2006/relationships/hyperlink" Target="https://www.youtube.com/watch?v=zXHYmQ6mnOg" TargetMode="External"/><Relationship Id="rId81" Type="http://schemas.openxmlformats.org/officeDocument/2006/relationships/hyperlink" Target="https://www.youtube.com/watch?v=TrzWw4l5n5Q" TargetMode="External"/><Relationship Id="rId86" Type="http://schemas.openxmlformats.org/officeDocument/2006/relationships/hyperlink" Target="https://www.youtube.com/watch?v=qXx5jw_yb3k" TargetMode="External"/><Relationship Id="rId94" Type="http://schemas.openxmlformats.org/officeDocument/2006/relationships/hyperlink" Target="https://www.youtube.com/watch?v=vS8o4xppzVI" TargetMode="External"/><Relationship Id="rId4" Type="http://schemas.openxmlformats.org/officeDocument/2006/relationships/hyperlink" Target="https://youtu.be/Mpffdo1xstA" TargetMode="External"/><Relationship Id="rId9" Type="http://schemas.openxmlformats.org/officeDocument/2006/relationships/hyperlink" Target="https://youtu.be/7bZJ1RelesE" TargetMode="External"/><Relationship Id="rId13" Type="http://schemas.openxmlformats.org/officeDocument/2006/relationships/hyperlink" Target="https://youtu.be/y_YvLyiEp6k" TargetMode="External"/><Relationship Id="rId18" Type="http://schemas.openxmlformats.org/officeDocument/2006/relationships/hyperlink" Target="https://youtu.be/Gxo_Fiw09Sk" TargetMode="External"/><Relationship Id="rId39" Type="http://schemas.openxmlformats.org/officeDocument/2006/relationships/hyperlink" Target="https://www.youtube.com/watch?v=gJwB8m-o3Lk" TargetMode="External"/><Relationship Id="rId34" Type="http://schemas.openxmlformats.org/officeDocument/2006/relationships/hyperlink" Target="https://youtu.be/8vkkZBrLOYg" TargetMode="External"/><Relationship Id="rId50" Type="http://schemas.openxmlformats.org/officeDocument/2006/relationships/hyperlink" Target="https://www.youtube.com/watch?v=DSG5_z-V-Xg" TargetMode="External"/><Relationship Id="rId55" Type="http://schemas.openxmlformats.org/officeDocument/2006/relationships/hyperlink" Target="https://www.youtube.com/watch?v=KDxXxJXqr8o" TargetMode="External"/><Relationship Id="rId76" Type="http://schemas.openxmlformats.org/officeDocument/2006/relationships/hyperlink" Target="https://www.youtube.com/watch?v=BDQWRhz4roE&amp;list=PLIFQENMARl03RwUlJd_nX05BIJm06WSDV&amp;index=5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https://youtu.be/s0imli0h_WE" TargetMode="External"/><Relationship Id="rId71" Type="http://schemas.openxmlformats.org/officeDocument/2006/relationships/hyperlink" Target="https://www.youtube.com/watch?v=tEEBU0v7pBg" TargetMode="External"/><Relationship Id="rId92" Type="http://schemas.openxmlformats.org/officeDocument/2006/relationships/hyperlink" Target="https://www.youtube.com/watch?v=Ok6V9X2eb7w" TargetMode="External"/><Relationship Id="rId2" Type="http://schemas.openxmlformats.org/officeDocument/2006/relationships/hyperlink" Target="https://youtu.be/XGLhnb59Bbg" TargetMode="External"/><Relationship Id="rId29" Type="http://schemas.openxmlformats.org/officeDocument/2006/relationships/hyperlink" Target="https://youtu.be/xtW_d4u7iDk" TargetMode="External"/><Relationship Id="rId24" Type="http://schemas.openxmlformats.org/officeDocument/2006/relationships/hyperlink" Target="https://youtu.be/UWb3Ivt08G0" TargetMode="External"/><Relationship Id="rId40" Type="http://schemas.openxmlformats.org/officeDocument/2006/relationships/hyperlink" Target="https://youtu.be/OXzkxcjT3LA" TargetMode="External"/><Relationship Id="rId45" Type="http://schemas.openxmlformats.org/officeDocument/2006/relationships/hyperlink" Target="https://www.youtube.com/watch?v=irIO_8BEHjQ" TargetMode="External"/><Relationship Id="rId66" Type="http://schemas.openxmlformats.org/officeDocument/2006/relationships/hyperlink" Target="https://www.youtube.com/watch?v=6CjSWpDFXFE" TargetMode="External"/><Relationship Id="rId87" Type="http://schemas.openxmlformats.org/officeDocument/2006/relationships/hyperlink" Target="https://www.youtube.com/watch?v=987jN7_JMY4" TargetMode="External"/><Relationship Id="rId61" Type="http://schemas.openxmlformats.org/officeDocument/2006/relationships/hyperlink" Target="https://www.youtube.com/watch?v=e-dKbGnnXEg" TargetMode="External"/><Relationship Id="rId82" Type="http://schemas.openxmlformats.org/officeDocument/2006/relationships/hyperlink" Target="https://www.youtube.com/watch?v=qartKDzKCh0" TargetMode="External"/><Relationship Id="rId19" Type="http://schemas.openxmlformats.org/officeDocument/2006/relationships/hyperlink" Target="https://youtu.be/VEA0m7z7hHI" TargetMode="External"/><Relationship Id="rId14" Type="http://schemas.openxmlformats.org/officeDocument/2006/relationships/hyperlink" Target="https://youtu.be/dMPXlJhMgOk" TargetMode="External"/><Relationship Id="rId30" Type="http://schemas.openxmlformats.org/officeDocument/2006/relationships/hyperlink" Target="https://youtu.be/z8bF74FlrU0" TargetMode="External"/><Relationship Id="rId35" Type="http://schemas.openxmlformats.org/officeDocument/2006/relationships/hyperlink" Target="https://youtu.be/wJbZFv0hKuo" TargetMode="External"/><Relationship Id="rId56" Type="http://schemas.openxmlformats.org/officeDocument/2006/relationships/hyperlink" Target="https://www.youtube.com/watch?v=IWFIUqcKM8E" TargetMode="External"/><Relationship Id="rId77" Type="http://schemas.openxmlformats.org/officeDocument/2006/relationships/hyperlink" Target="https://www.youtube.com/watch?v=GONguGxUOLc" TargetMode="External"/><Relationship Id="rId8" Type="http://schemas.openxmlformats.org/officeDocument/2006/relationships/hyperlink" Target="https://youtu.be/nuJiLbdhQlQ" TargetMode="External"/><Relationship Id="rId51" Type="http://schemas.openxmlformats.org/officeDocument/2006/relationships/hyperlink" Target="https://www.youtube.com/watch?v=OtzG6rIlEBs" TargetMode="External"/><Relationship Id="rId72" Type="http://schemas.openxmlformats.org/officeDocument/2006/relationships/hyperlink" Target="https://www.youtube.com/watch?v=Axc6uo-KEYI" TargetMode="External"/><Relationship Id="rId93" Type="http://schemas.openxmlformats.org/officeDocument/2006/relationships/hyperlink" Target="https://www.youtube.com/watch?v=h024eRuKlKs" TargetMode="External"/><Relationship Id="rId98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scHjVbz7Fm4" TargetMode="External"/><Relationship Id="rId21" Type="http://schemas.openxmlformats.org/officeDocument/2006/relationships/hyperlink" Target="https://www.youtube.com/watch?v=yZoC76AdaDM" TargetMode="External"/><Relationship Id="rId42" Type="http://schemas.openxmlformats.org/officeDocument/2006/relationships/hyperlink" Target="https://www.youtube.com/watch?v=p_u0laDQ73c" TargetMode="External"/><Relationship Id="rId47" Type="http://schemas.openxmlformats.org/officeDocument/2006/relationships/hyperlink" Target="https://www.youtube.com/watch?v=_5G_0QL7y5I" TargetMode="External"/><Relationship Id="rId63" Type="http://schemas.openxmlformats.org/officeDocument/2006/relationships/hyperlink" Target="https://www.youtube.com/watch?v=moh55ogNPL8" TargetMode="External"/><Relationship Id="rId68" Type="http://schemas.openxmlformats.org/officeDocument/2006/relationships/hyperlink" Target="https://www.youtube.com/watch?v=Y2nmy1chPc4" TargetMode="External"/><Relationship Id="rId84" Type="http://schemas.openxmlformats.org/officeDocument/2006/relationships/hyperlink" Target="https://www.youtube.com/watch?v=ucrXW-gctsk" TargetMode="External"/><Relationship Id="rId89" Type="http://schemas.openxmlformats.org/officeDocument/2006/relationships/hyperlink" Target="https://www.youtube.com/watch?v=9ybJlByQ0QQ" TargetMode="External"/><Relationship Id="rId16" Type="http://schemas.openxmlformats.org/officeDocument/2006/relationships/hyperlink" Target="https://www.youtube.com/watch?v=uARO8NYMWuk" TargetMode="External"/><Relationship Id="rId11" Type="http://schemas.openxmlformats.org/officeDocument/2006/relationships/hyperlink" Target="https://www.youtube.com/watch?v=720NHWWSAqw" TargetMode="External"/><Relationship Id="rId32" Type="http://schemas.openxmlformats.org/officeDocument/2006/relationships/hyperlink" Target="https://www.youtube.com/watch?v=mvdcoHAwmDs" TargetMode="External"/><Relationship Id="rId37" Type="http://schemas.openxmlformats.org/officeDocument/2006/relationships/hyperlink" Target="https://www.youtube.com/watch?v=tzclM1rjck0" TargetMode="External"/><Relationship Id="rId53" Type="http://schemas.openxmlformats.org/officeDocument/2006/relationships/hyperlink" Target="https://www.youtube.com/watch?v=VMRkdcoYvXc" TargetMode="External"/><Relationship Id="rId58" Type="http://schemas.openxmlformats.org/officeDocument/2006/relationships/hyperlink" Target="https://www.youtube.com/watch?v=MpPwNdpQkd4" TargetMode="External"/><Relationship Id="rId74" Type="http://schemas.openxmlformats.org/officeDocument/2006/relationships/hyperlink" Target="https://www.youtube.com/watch?v=OTddzUfWfkE" TargetMode="External"/><Relationship Id="rId79" Type="http://schemas.openxmlformats.org/officeDocument/2006/relationships/hyperlink" Target="https://www.youtube.com/watch?v=2exwcECpqAI" TargetMode="External"/><Relationship Id="rId102" Type="http://schemas.openxmlformats.org/officeDocument/2006/relationships/hyperlink" Target="https://youtu.be/H8jptaNv_dA" TargetMode="External"/><Relationship Id="rId5" Type="http://schemas.openxmlformats.org/officeDocument/2006/relationships/hyperlink" Target="https://www.youtube.com/watch?v=Yv2eKz8Vj-A" TargetMode="External"/><Relationship Id="rId90" Type="http://schemas.openxmlformats.org/officeDocument/2006/relationships/hyperlink" Target="https://www.youtube.com/watch?v=Mjnd9qBs14E" TargetMode="External"/><Relationship Id="rId95" Type="http://schemas.openxmlformats.org/officeDocument/2006/relationships/hyperlink" Target="https://www.youtube.com/watch?v=wUHg9p-qnsw" TargetMode="External"/><Relationship Id="rId22" Type="http://schemas.openxmlformats.org/officeDocument/2006/relationships/hyperlink" Target="https://www.youtube.com/watch?v=uVRFEP5CtbA" TargetMode="External"/><Relationship Id="rId27" Type="http://schemas.openxmlformats.org/officeDocument/2006/relationships/hyperlink" Target="https://www.youtube.com/watch?v=oyOlt2SwqRQ" TargetMode="External"/><Relationship Id="rId43" Type="http://schemas.openxmlformats.org/officeDocument/2006/relationships/hyperlink" Target="https://www.youtube.com/watch?v=3T47emSOVPs" TargetMode="External"/><Relationship Id="rId48" Type="http://schemas.openxmlformats.org/officeDocument/2006/relationships/hyperlink" Target="https://www.youtube.com/watch?v=97QiNXiB0kA" TargetMode="External"/><Relationship Id="rId64" Type="http://schemas.openxmlformats.org/officeDocument/2006/relationships/hyperlink" Target="https://www.youtube.com/watch?v=yE5C9LW9bO8" TargetMode="External"/><Relationship Id="rId69" Type="http://schemas.openxmlformats.org/officeDocument/2006/relationships/hyperlink" Target="https://www.youtube.com/watch?v=QrlJ9GtRTzI" TargetMode="External"/><Relationship Id="rId80" Type="http://schemas.openxmlformats.org/officeDocument/2006/relationships/hyperlink" Target="https://www.youtube.com/watch?v=IUxL4xHCmgk" TargetMode="External"/><Relationship Id="rId85" Type="http://schemas.openxmlformats.org/officeDocument/2006/relationships/hyperlink" Target="https://www.youtube.com/watch?v=Vz98qKnEFMk" TargetMode="External"/><Relationship Id="rId12" Type="http://schemas.openxmlformats.org/officeDocument/2006/relationships/hyperlink" Target="https://www.youtube.com/watch?v=qzYgjMjUktw" TargetMode="External"/><Relationship Id="rId17" Type="http://schemas.openxmlformats.org/officeDocument/2006/relationships/hyperlink" Target="https://www.youtube.com/watch?v=zWOrONVmHWM" TargetMode="External"/><Relationship Id="rId33" Type="http://schemas.openxmlformats.org/officeDocument/2006/relationships/hyperlink" Target="https://www.youtube.com/watch?v=MtV4DZVh7No" TargetMode="External"/><Relationship Id="rId38" Type="http://schemas.openxmlformats.org/officeDocument/2006/relationships/hyperlink" Target="https://www.youtube.com/watch?v=_pCk6qubF4k" TargetMode="External"/><Relationship Id="rId59" Type="http://schemas.openxmlformats.org/officeDocument/2006/relationships/hyperlink" Target="https://www.youtube.com/watch?v=dY1E2HNCzy8" TargetMode="External"/><Relationship Id="rId103" Type="http://schemas.openxmlformats.org/officeDocument/2006/relationships/hyperlink" Target="https://youtu.be/lJqgoXCcYzc" TargetMode="External"/><Relationship Id="rId20" Type="http://schemas.openxmlformats.org/officeDocument/2006/relationships/hyperlink" Target="https://www.youtube.com/watch?v=tk_rxgGFUXg" TargetMode="External"/><Relationship Id="rId41" Type="http://schemas.openxmlformats.org/officeDocument/2006/relationships/hyperlink" Target="https://www.youtube.com/watch?v=wDlutc7R8nk" TargetMode="External"/><Relationship Id="rId54" Type="http://schemas.openxmlformats.org/officeDocument/2006/relationships/hyperlink" Target="https://www.youtube.com/watch?v=TRIAzKEpRw0" TargetMode="External"/><Relationship Id="rId62" Type="http://schemas.openxmlformats.org/officeDocument/2006/relationships/hyperlink" Target="https://www.youtube.com/watch?v=mXR6vjVdFS8" TargetMode="External"/><Relationship Id="rId70" Type="http://schemas.openxmlformats.org/officeDocument/2006/relationships/hyperlink" Target="https://www.youtube.com/watch?v=zkzeMnNlyWE" TargetMode="External"/><Relationship Id="rId75" Type="http://schemas.openxmlformats.org/officeDocument/2006/relationships/hyperlink" Target="https://www.youtube.com/watch?v=qRAgdz6FDTU" TargetMode="External"/><Relationship Id="rId83" Type="http://schemas.openxmlformats.org/officeDocument/2006/relationships/hyperlink" Target="https://www.youtube.com/watch?v=6Qd1VdDmzPM" TargetMode="External"/><Relationship Id="rId88" Type="http://schemas.openxmlformats.org/officeDocument/2006/relationships/hyperlink" Target="https://www.youtube.com/watch?v=by0B39TQQCw" TargetMode="External"/><Relationship Id="rId91" Type="http://schemas.openxmlformats.org/officeDocument/2006/relationships/hyperlink" Target="https://www.youtube.com/watch?v=CWT1Ev581jo" TargetMode="External"/><Relationship Id="rId96" Type="http://schemas.openxmlformats.org/officeDocument/2006/relationships/hyperlink" Target="https://www.youtube.com/watch?v=aFyspcv_ApA" TargetMode="External"/><Relationship Id="rId1" Type="http://schemas.openxmlformats.org/officeDocument/2006/relationships/hyperlink" Target="https://www.youtube.com/watch?v=94-_kymztCE" TargetMode="External"/><Relationship Id="rId6" Type="http://schemas.openxmlformats.org/officeDocument/2006/relationships/hyperlink" Target="https://www.youtube.com/watch?v=sr14zsdQvik" TargetMode="External"/><Relationship Id="rId15" Type="http://schemas.openxmlformats.org/officeDocument/2006/relationships/hyperlink" Target="https://www.youtube.com/watch?v=86b1j0EjEL8" TargetMode="External"/><Relationship Id="rId23" Type="http://schemas.openxmlformats.org/officeDocument/2006/relationships/hyperlink" Target="https://www.youtube.com/watch?v=1Olkx1LcBkQ" TargetMode="External"/><Relationship Id="rId28" Type="http://schemas.openxmlformats.org/officeDocument/2006/relationships/hyperlink" Target="https://www.youtube.com/watch?v=9UC51YrYFx0" TargetMode="External"/><Relationship Id="rId36" Type="http://schemas.openxmlformats.org/officeDocument/2006/relationships/hyperlink" Target="https://www.youtube.com/watch?v=FIqWFR4haig" TargetMode="External"/><Relationship Id="rId49" Type="http://schemas.openxmlformats.org/officeDocument/2006/relationships/hyperlink" Target="https://www.youtube.com/watch?v=2I_Fc2lHklQ" TargetMode="External"/><Relationship Id="rId57" Type="http://schemas.openxmlformats.org/officeDocument/2006/relationships/hyperlink" Target="https://www.youtube.com/watch?v=FZd_1Q97yrY" TargetMode="External"/><Relationship Id="rId10" Type="http://schemas.openxmlformats.org/officeDocument/2006/relationships/hyperlink" Target="https://www.youtube.com/watch?v=nPMdsgrO7Zg" TargetMode="External"/><Relationship Id="rId31" Type="http://schemas.openxmlformats.org/officeDocument/2006/relationships/hyperlink" Target="https://www.youtube.com/watch?v=JvyeFgMjmBs" TargetMode="External"/><Relationship Id="rId44" Type="http://schemas.openxmlformats.org/officeDocument/2006/relationships/hyperlink" Target="https://www.youtube.com/watch?v=47Nf7VkGYnY" TargetMode="External"/><Relationship Id="rId52" Type="http://schemas.openxmlformats.org/officeDocument/2006/relationships/hyperlink" Target="https://www.youtube.com/watch?v=7ly6nyXQWpA" TargetMode="External"/><Relationship Id="rId60" Type="http://schemas.openxmlformats.org/officeDocument/2006/relationships/hyperlink" Target="https://www.youtube.com/watch?v=lHys8_u0uBQ" TargetMode="External"/><Relationship Id="rId65" Type="http://schemas.openxmlformats.org/officeDocument/2006/relationships/hyperlink" Target="https://www.youtube.com/watch?v=K3kGeEd49uY" TargetMode="External"/><Relationship Id="rId73" Type="http://schemas.openxmlformats.org/officeDocument/2006/relationships/hyperlink" Target="https://www.youtube.com/watch?v=U77moqTBxCk" TargetMode="External"/><Relationship Id="rId78" Type="http://schemas.openxmlformats.org/officeDocument/2006/relationships/hyperlink" Target="https://www.youtube.com/watch?v=MRw5pAAwdTM" TargetMode="External"/><Relationship Id="rId81" Type="http://schemas.openxmlformats.org/officeDocument/2006/relationships/hyperlink" Target="https://www.youtube.com/watch?v=7hL4BhaHgP4" TargetMode="External"/><Relationship Id="rId86" Type="http://schemas.openxmlformats.org/officeDocument/2006/relationships/hyperlink" Target="https://www.youtube.com/watch?v=HejOwhOGb-Y" TargetMode="External"/><Relationship Id="rId94" Type="http://schemas.openxmlformats.org/officeDocument/2006/relationships/hyperlink" Target="https://www.youtube.com/watch?v=ZI2tElw44jI" TargetMode="External"/><Relationship Id="rId99" Type="http://schemas.openxmlformats.org/officeDocument/2006/relationships/hyperlink" Target="https://www.youtube.com/watch?v=v8Q3o95ozho" TargetMode="External"/><Relationship Id="rId101" Type="http://schemas.openxmlformats.org/officeDocument/2006/relationships/hyperlink" Target="https://youtu.be/-qO_TR_ovcY" TargetMode="External"/><Relationship Id="rId4" Type="http://schemas.openxmlformats.org/officeDocument/2006/relationships/hyperlink" Target="https://www.youtube.com/watch?v=q--T4qTnyjQ" TargetMode="External"/><Relationship Id="rId9" Type="http://schemas.openxmlformats.org/officeDocument/2006/relationships/hyperlink" Target="https://www.youtube.com/watch?v=mHwOKEpGIRE" TargetMode="External"/><Relationship Id="rId13" Type="http://schemas.openxmlformats.org/officeDocument/2006/relationships/hyperlink" Target="https://www.youtube.com/watch?v=NS-kFq_LOQo" TargetMode="External"/><Relationship Id="rId18" Type="http://schemas.openxmlformats.org/officeDocument/2006/relationships/hyperlink" Target="https://www.youtube.com/watch?v=2C-PAJm26XQ" TargetMode="External"/><Relationship Id="rId39" Type="http://schemas.openxmlformats.org/officeDocument/2006/relationships/hyperlink" Target="https://www.youtube.com/watch?v=NeWTnpEvRrY" TargetMode="External"/><Relationship Id="rId34" Type="http://schemas.openxmlformats.org/officeDocument/2006/relationships/hyperlink" Target="https://www.youtube.com/watch?v=RKMCO1N0DGw" TargetMode="External"/><Relationship Id="rId50" Type="http://schemas.openxmlformats.org/officeDocument/2006/relationships/hyperlink" Target="https://www.youtube.com/watch?v=gkrxvy3Nlnk" TargetMode="External"/><Relationship Id="rId55" Type="http://schemas.openxmlformats.org/officeDocument/2006/relationships/hyperlink" Target="https://www.youtube.com/watch?v=L83Z0QXOFh8" TargetMode="External"/><Relationship Id="rId76" Type="http://schemas.openxmlformats.org/officeDocument/2006/relationships/hyperlink" Target="https://www.youtube.com/watch?v=FTqiEjnhARc" TargetMode="External"/><Relationship Id="rId97" Type="http://schemas.openxmlformats.org/officeDocument/2006/relationships/hyperlink" Target="https://www.youtube.com/watch?v=nmvi1_f1swE" TargetMode="External"/><Relationship Id="rId104" Type="http://schemas.openxmlformats.org/officeDocument/2006/relationships/hyperlink" Target="https://youtu.be/pJdwwaQnCHM" TargetMode="External"/><Relationship Id="rId7" Type="http://schemas.openxmlformats.org/officeDocument/2006/relationships/hyperlink" Target="https://www.youtube.com/watch?v=rx3N2eAoY1c" TargetMode="External"/><Relationship Id="rId71" Type="http://schemas.openxmlformats.org/officeDocument/2006/relationships/hyperlink" Target="https://www.youtube.com/watch?v=PDCUM-4qJWU" TargetMode="External"/><Relationship Id="rId92" Type="http://schemas.openxmlformats.org/officeDocument/2006/relationships/hyperlink" Target="https://www.youtube.com/watch?v=Qt1dFyUBgD0" TargetMode="External"/><Relationship Id="rId2" Type="http://schemas.openxmlformats.org/officeDocument/2006/relationships/hyperlink" Target="https://www.youtube.com/watch?v=xprqc5yFvt4" TargetMode="External"/><Relationship Id="rId29" Type="http://schemas.openxmlformats.org/officeDocument/2006/relationships/hyperlink" Target="https://www.youtube.com/watch?v=kUEWn_g5oRs" TargetMode="External"/><Relationship Id="rId24" Type="http://schemas.openxmlformats.org/officeDocument/2006/relationships/hyperlink" Target="https://www.youtube.com/watch?v=v7vlH2nYnHc" TargetMode="External"/><Relationship Id="rId40" Type="http://schemas.openxmlformats.org/officeDocument/2006/relationships/hyperlink" Target="https://www.youtube.com/watch?v=Sn4gkg4HnSE" TargetMode="External"/><Relationship Id="rId45" Type="http://schemas.openxmlformats.org/officeDocument/2006/relationships/hyperlink" Target="https://www.youtube.com/watch?v=ItKznYS93wI" TargetMode="External"/><Relationship Id="rId66" Type="http://schemas.openxmlformats.org/officeDocument/2006/relationships/hyperlink" Target="https://www.youtube.com/watch?v=116M6ZhY19M" TargetMode="External"/><Relationship Id="rId87" Type="http://schemas.openxmlformats.org/officeDocument/2006/relationships/hyperlink" Target="https://www.youtube.com/watch?v=hV3IxPcgY80" TargetMode="External"/><Relationship Id="rId61" Type="http://schemas.openxmlformats.org/officeDocument/2006/relationships/hyperlink" Target="https://www.youtube.com/watch?v=DkVDpWQb6hY" TargetMode="External"/><Relationship Id="rId82" Type="http://schemas.openxmlformats.org/officeDocument/2006/relationships/hyperlink" Target="https://www.youtube.com/watch?v=3jI8kzISOnw" TargetMode="External"/><Relationship Id="rId19" Type="http://schemas.openxmlformats.org/officeDocument/2006/relationships/hyperlink" Target="https://www.youtube.com/watch?v=R4_rP2ZQlN4" TargetMode="External"/><Relationship Id="rId14" Type="http://schemas.openxmlformats.org/officeDocument/2006/relationships/hyperlink" Target="https://www.youtube.com/watch?v=nPMdsgrO7Zg" TargetMode="External"/><Relationship Id="rId30" Type="http://schemas.openxmlformats.org/officeDocument/2006/relationships/hyperlink" Target="https://www.youtube.com/watch?v=mPq1L-7V-z4" TargetMode="External"/><Relationship Id="rId35" Type="http://schemas.openxmlformats.org/officeDocument/2006/relationships/hyperlink" Target="https://www.youtube.com/watch?v=2IDy4zl6b3o" TargetMode="External"/><Relationship Id="rId56" Type="http://schemas.openxmlformats.org/officeDocument/2006/relationships/hyperlink" Target="https://www.youtube.com/watch?v=fq_5ubpgRtQ" TargetMode="External"/><Relationship Id="rId77" Type="http://schemas.openxmlformats.org/officeDocument/2006/relationships/hyperlink" Target="https://www.youtube.com/watch?v=eLgbRcgK1mw" TargetMode="External"/><Relationship Id="rId100" Type="http://schemas.openxmlformats.org/officeDocument/2006/relationships/hyperlink" Target="https://youtu.be/7GguCLOBdJY" TargetMode="External"/><Relationship Id="rId105" Type="http://schemas.openxmlformats.org/officeDocument/2006/relationships/table" Target="../tables/table2.xml"/><Relationship Id="rId8" Type="http://schemas.openxmlformats.org/officeDocument/2006/relationships/hyperlink" Target="https://www.youtube.com/watch?v=WeAAx1N2l5A" TargetMode="External"/><Relationship Id="rId51" Type="http://schemas.openxmlformats.org/officeDocument/2006/relationships/hyperlink" Target="https://www.youtube.com/watch?v=SNKKYojfuC8" TargetMode="External"/><Relationship Id="rId72" Type="http://schemas.openxmlformats.org/officeDocument/2006/relationships/hyperlink" Target="https://www.youtube.com/watch?v=MjPcVw_LFl8" TargetMode="External"/><Relationship Id="rId93" Type="http://schemas.openxmlformats.org/officeDocument/2006/relationships/hyperlink" Target="https://www.youtube.com/watch?v=bQA8VjSXz5g" TargetMode="External"/><Relationship Id="rId98" Type="http://schemas.openxmlformats.org/officeDocument/2006/relationships/hyperlink" Target="https://www.youtube.com/watch?v=ATVR54WSIOU" TargetMode="External"/><Relationship Id="rId3" Type="http://schemas.openxmlformats.org/officeDocument/2006/relationships/hyperlink" Target="https://www.youtube.com/watch?v=wakxZSNpLRo" TargetMode="External"/><Relationship Id="rId25" Type="http://schemas.openxmlformats.org/officeDocument/2006/relationships/hyperlink" Target="https://www.youtube.com/watch?v=-itXNqGhOyA" TargetMode="External"/><Relationship Id="rId46" Type="http://schemas.openxmlformats.org/officeDocument/2006/relationships/hyperlink" Target="https://www.youtube.com/watch?v=58AnQEI9o6o" TargetMode="External"/><Relationship Id="rId67" Type="http://schemas.openxmlformats.org/officeDocument/2006/relationships/hyperlink" Target="https://www.youtube.com/watch?v=0PxRts7s6iQ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t9heOyeN5lg" TargetMode="External"/><Relationship Id="rId21" Type="http://schemas.openxmlformats.org/officeDocument/2006/relationships/hyperlink" Target="https://youtu.be/5voBF-PVzqU" TargetMode="External"/><Relationship Id="rId42" Type="http://schemas.openxmlformats.org/officeDocument/2006/relationships/hyperlink" Target="https://youtu.be/3i_ubBJtRUU" TargetMode="External"/><Relationship Id="rId63" Type="http://schemas.openxmlformats.org/officeDocument/2006/relationships/hyperlink" Target="https://youtu.be/cxiZxjTBXg8?si=8GDe_4FaqoVWOeb1" TargetMode="External"/><Relationship Id="rId84" Type="http://schemas.openxmlformats.org/officeDocument/2006/relationships/hyperlink" Target="https://youtu.be/g_CqTslLdwQ" TargetMode="External"/><Relationship Id="rId138" Type="http://schemas.openxmlformats.org/officeDocument/2006/relationships/hyperlink" Target="https://youtu.be/DHbKg_NIgVA" TargetMode="External"/><Relationship Id="rId107" Type="http://schemas.openxmlformats.org/officeDocument/2006/relationships/hyperlink" Target="https://youtu.be/IrPzJ9hzEFY" TargetMode="External"/><Relationship Id="rId11" Type="http://schemas.openxmlformats.org/officeDocument/2006/relationships/hyperlink" Target="https://youtu.be/DyBjPo4CK1k" TargetMode="External"/><Relationship Id="rId32" Type="http://schemas.openxmlformats.org/officeDocument/2006/relationships/hyperlink" Target="https://youtu.be/6ioMV8aFPIk" TargetMode="External"/><Relationship Id="rId53" Type="http://schemas.openxmlformats.org/officeDocument/2006/relationships/hyperlink" Target="https://youtu.be/Hw9sPoujcOo" TargetMode="External"/><Relationship Id="rId74" Type="http://schemas.openxmlformats.org/officeDocument/2006/relationships/hyperlink" Target="https://youtu.be/8gpXTg_oNJY" TargetMode="External"/><Relationship Id="rId128" Type="http://schemas.openxmlformats.org/officeDocument/2006/relationships/hyperlink" Target="https://youtu.be/z9NPk3qEVFw" TargetMode="External"/><Relationship Id="rId149" Type="http://schemas.openxmlformats.org/officeDocument/2006/relationships/hyperlink" Target="https://youtu.be/1UD-MUL6t_w" TargetMode="External"/><Relationship Id="rId5" Type="http://schemas.openxmlformats.org/officeDocument/2006/relationships/hyperlink" Target="https://youtu.be/OJacnHKmHs8" TargetMode="External"/><Relationship Id="rId95" Type="http://schemas.openxmlformats.org/officeDocument/2006/relationships/hyperlink" Target="https://youtu.be/sXvqdqeufR8" TargetMode="External"/><Relationship Id="rId22" Type="http://schemas.openxmlformats.org/officeDocument/2006/relationships/hyperlink" Target="https://youtu.be/WYMtg-g-zNI" TargetMode="External"/><Relationship Id="rId27" Type="http://schemas.openxmlformats.org/officeDocument/2006/relationships/hyperlink" Target="https://youtu.be/Klgvi8aUhbg" TargetMode="External"/><Relationship Id="rId43" Type="http://schemas.openxmlformats.org/officeDocument/2006/relationships/hyperlink" Target="https://youtu.be/mCTL7UZ7z7s" TargetMode="External"/><Relationship Id="rId48" Type="http://schemas.openxmlformats.org/officeDocument/2006/relationships/hyperlink" Target="https://youtu.be/1Njg7IFuCF8" TargetMode="External"/><Relationship Id="rId64" Type="http://schemas.openxmlformats.org/officeDocument/2006/relationships/hyperlink" Target="https://youtu.be/mrRPdnrpYHQ?si=sYwhYDLI5ldVW05q" TargetMode="External"/><Relationship Id="rId69" Type="http://schemas.openxmlformats.org/officeDocument/2006/relationships/hyperlink" Target="https://youtu.be/ggKLXLYS7YY" TargetMode="External"/><Relationship Id="rId113" Type="http://schemas.openxmlformats.org/officeDocument/2006/relationships/hyperlink" Target="https://youtu.be/BQlTTCNwmVk" TargetMode="External"/><Relationship Id="rId118" Type="http://schemas.openxmlformats.org/officeDocument/2006/relationships/hyperlink" Target="https://youtu.be/FZ9O5HIP5-o" TargetMode="External"/><Relationship Id="rId134" Type="http://schemas.openxmlformats.org/officeDocument/2006/relationships/hyperlink" Target="https://youtu.be/RXCCpvCYGe4" TargetMode="External"/><Relationship Id="rId139" Type="http://schemas.openxmlformats.org/officeDocument/2006/relationships/hyperlink" Target="https://youtu.be/CZGUsPvOYJU" TargetMode="External"/><Relationship Id="rId80" Type="http://schemas.openxmlformats.org/officeDocument/2006/relationships/hyperlink" Target="https://youtu.be/7_kMgwVDOO4" TargetMode="External"/><Relationship Id="rId85" Type="http://schemas.openxmlformats.org/officeDocument/2006/relationships/hyperlink" Target="https://youtu.be/7ZtENOS296M" TargetMode="External"/><Relationship Id="rId150" Type="http://schemas.openxmlformats.org/officeDocument/2006/relationships/hyperlink" Target="https://youtu.be/YrBjWot7RIM" TargetMode="External"/><Relationship Id="rId12" Type="http://schemas.openxmlformats.org/officeDocument/2006/relationships/hyperlink" Target="https://youtu.be/GqAu93cmWRw" TargetMode="External"/><Relationship Id="rId17" Type="http://schemas.openxmlformats.org/officeDocument/2006/relationships/hyperlink" Target="https://youtu.be/HdlNtY8bFWk" TargetMode="External"/><Relationship Id="rId33" Type="http://schemas.openxmlformats.org/officeDocument/2006/relationships/hyperlink" Target="https://youtu.be/qqbvL3LoQXA" TargetMode="External"/><Relationship Id="rId38" Type="http://schemas.openxmlformats.org/officeDocument/2006/relationships/hyperlink" Target="https://youtu.be/bxy0UQeiGus" TargetMode="External"/><Relationship Id="rId59" Type="http://schemas.openxmlformats.org/officeDocument/2006/relationships/hyperlink" Target="https://youtu.be/XBZaelZp868?si=Qp53OAmlEUx8ajGm" TargetMode="External"/><Relationship Id="rId103" Type="http://schemas.openxmlformats.org/officeDocument/2006/relationships/hyperlink" Target="https://youtu.be/KG8hTG3Xe-Y" TargetMode="External"/><Relationship Id="rId108" Type="http://schemas.openxmlformats.org/officeDocument/2006/relationships/hyperlink" Target="https://youtu.be/eTLtT9uIyHY" TargetMode="External"/><Relationship Id="rId124" Type="http://schemas.openxmlformats.org/officeDocument/2006/relationships/hyperlink" Target="https://youtu.be/_vGW3QcUAG8" TargetMode="External"/><Relationship Id="rId129" Type="http://schemas.openxmlformats.org/officeDocument/2006/relationships/hyperlink" Target="https://youtu.be/Ek0tpOR8smc" TargetMode="External"/><Relationship Id="rId54" Type="http://schemas.openxmlformats.org/officeDocument/2006/relationships/hyperlink" Target="https://youtu.be/l1Wuoq2thhM" TargetMode="External"/><Relationship Id="rId70" Type="http://schemas.openxmlformats.org/officeDocument/2006/relationships/hyperlink" Target="https://youtu.be/O3TiiWbx6iw" TargetMode="External"/><Relationship Id="rId75" Type="http://schemas.openxmlformats.org/officeDocument/2006/relationships/hyperlink" Target="https://youtu.be/hGcYQUi2wcM" TargetMode="External"/><Relationship Id="rId91" Type="http://schemas.openxmlformats.org/officeDocument/2006/relationships/hyperlink" Target="https://youtu.be/O75sIvyOO88" TargetMode="External"/><Relationship Id="rId96" Type="http://schemas.openxmlformats.org/officeDocument/2006/relationships/hyperlink" Target="https://youtu.be/6p9HRJpzukM" TargetMode="External"/><Relationship Id="rId140" Type="http://schemas.openxmlformats.org/officeDocument/2006/relationships/hyperlink" Target="https://youtu.be/GjZ6C_lvgrk" TargetMode="External"/><Relationship Id="rId145" Type="http://schemas.openxmlformats.org/officeDocument/2006/relationships/hyperlink" Target="https://youtu.be/D03ddUOmvcc" TargetMode="External"/><Relationship Id="rId1" Type="http://schemas.openxmlformats.org/officeDocument/2006/relationships/hyperlink" Target="https://youtu.be/AK2pmazzE80" TargetMode="External"/><Relationship Id="rId6" Type="http://schemas.openxmlformats.org/officeDocument/2006/relationships/hyperlink" Target="https://youtu.be/NJkeYLBBvaw" TargetMode="External"/><Relationship Id="rId23" Type="http://schemas.openxmlformats.org/officeDocument/2006/relationships/hyperlink" Target="https://youtu.be/6QeMkQQp5dY" TargetMode="External"/><Relationship Id="rId28" Type="http://schemas.openxmlformats.org/officeDocument/2006/relationships/hyperlink" Target="https://youtu.be/wC8TDUqTtFU" TargetMode="External"/><Relationship Id="rId49" Type="http://schemas.openxmlformats.org/officeDocument/2006/relationships/hyperlink" Target="https://youtu.be/gVqhdatai8U" TargetMode="External"/><Relationship Id="rId114" Type="http://schemas.openxmlformats.org/officeDocument/2006/relationships/hyperlink" Target="https://youtu.be/UAws2gsfthQ" TargetMode="External"/><Relationship Id="rId119" Type="http://schemas.openxmlformats.org/officeDocument/2006/relationships/hyperlink" Target="https://youtu.be/tQ-e1teh41A" TargetMode="External"/><Relationship Id="rId44" Type="http://schemas.openxmlformats.org/officeDocument/2006/relationships/hyperlink" Target="https://youtu.be/dTXGIpqeH_A" TargetMode="External"/><Relationship Id="rId60" Type="http://schemas.openxmlformats.org/officeDocument/2006/relationships/hyperlink" Target="https://youtu.be/mmoGprHzz58?si=WRXceOEkK-KJ3lJM" TargetMode="External"/><Relationship Id="rId65" Type="http://schemas.openxmlformats.org/officeDocument/2006/relationships/hyperlink" Target="https://youtu.be/rJYIrW1FGc8?si=78MSP04UPg8q95BS" TargetMode="External"/><Relationship Id="rId81" Type="http://schemas.openxmlformats.org/officeDocument/2006/relationships/hyperlink" Target="https://youtu.be/-GbLz7J9HJ0" TargetMode="External"/><Relationship Id="rId86" Type="http://schemas.openxmlformats.org/officeDocument/2006/relationships/hyperlink" Target="https://youtu.be/3O8BryPxfHo" TargetMode="External"/><Relationship Id="rId130" Type="http://schemas.openxmlformats.org/officeDocument/2006/relationships/hyperlink" Target="https://youtu.be/SduuzcQD8Ek" TargetMode="External"/><Relationship Id="rId135" Type="http://schemas.openxmlformats.org/officeDocument/2006/relationships/hyperlink" Target="https://youtu.be/zj6E1YfJshk" TargetMode="External"/><Relationship Id="rId151" Type="http://schemas.openxmlformats.org/officeDocument/2006/relationships/hyperlink" Target="https://youtu.be/egvgIAlcGLU" TargetMode="External"/><Relationship Id="rId13" Type="http://schemas.openxmlformats.org/officeDocument/2006/relationships/hyperlink" Target="https://youtu.be/VviP7fifk8c" TargetMode="External"/><Relationship Id="rId18" Type="http://schemas.openxmlformats.org/officeDocument/2006/relationships/hyperlink" Target="https://youtu.be/jJ3crER-mvs" TargetMode="External"/><Relationship Id="rId39" Type="http://schemas.openxmlformats.org/officeDocument/2006/relationships/hyperlink" Target="https://youtu.be/BjBWh-uFr0c" TargetMode="External"/><Relationship Id="rId109" Type="http://schemas.openxmlformats.org/officeDocument/2006/relationships/hyperlink" Target="https://youtu.be/7tMnm6Vy_K0" TargetMode="External"/><Relationship Id="rId34" Type="http://schemas.openxmlformats.org/officeDocument/2006/relationships/hyperlink" Target="https://youtu.be/7u5jhe0J5K8" TargetMode="External"/><Relationship Id="rId50" Type="http://schemas.openxmlformats.org/officeDocument/2006/relationships/hyperlink" Target="https://youtu.be/3TdMLwGjglc" TargetMode="External"/><Relationship Id="rId55" Type="http://schemas.openxmlformats.org/officeDocument/2006/relationships/hyperlink" Target="https://youtu.be/zxSOMfkkOWk" TargetMode="External"/><Relationship Id="rId76" Type="http://schemas.openxmlformats.org/officeDocument/2006/relationships/hyperlink" Target="https://youtu.be/40z21QBQhZ8" TargetMode="External"/><Relationship Id="rId97" Type="http://schemas.openxmlformats.org/officeDocument/2006/relationships/hyperlink" Target="https://youtu.be/PmJ9hAKNdmE" TargetMode="External"/><Relationship Id="rId104" Type="http://schemas.openxmlformats.org/officeDocument/2006/relationships/hyperlink" Target="https://youtu.be/g_dKv_t-8CY" TargetMode="External"/><Relationship Id="rId120" Type="http://schemas.openxmlformats.org/officeDocument/2006/relationships/hyperlink" Target="https://youtu.be/XU_y5ZkNUCw" TargetMode="External"/><Relationship Id="rId125" Type="http://schemas.openxmlformats.org/officeDocument/2006/relationships/hyperlink" Target="https://youtu.be/yh2fiAYIN04" TargetMode="External"/><Relationship Id="rId141" Type="http://schemas.openxmlformats.org/officeDocument/2006/relationships/hyperlink" Target="https://youtu.be/YgzEBMjxpaA" TargetMode="External"/><Relationship Id="rId146" Type="http://schemas.openxmlformats.org/officeDocument/2006/relationships/hyperlink" Target="https://youtu.be/vRofBtxj6f4" TargetMode="External"/><Relationship Id="rId7" Type="http://schemas.openxmlformats.org/officeDocument/2006/relationships/hyperlink" Target="https://youtu.be/xe8T2eRdhME" TargetMode="External"/><Relationship Id="rId71" Type="http://schemas.openxmlformats.org/officeDocument/2006/relationships/hyperlink" Target="https://youtu.be/UkWtTzVxOfw" TargetMode="External"/><Relationship Id="rId92" Type="http://schemas.openxmlformats.org/officeDocument/2006/relationships/hyperlink" Target="https://youtu.be/z7AZU7ffwa0" TargetMode="External"/><Relationship Id="rId2" Type="http://schemas.openxmlformats.org/officeDocument/2006/relationships/hyperlink" Target="https://youtu.be/9EBAVc_uNtA" TargetMode="External"/><Relationship Id="rId29" Type="http://schemas.openxmlformats.org/officeDocument/2006/relationships/hyperlink" Target="https://youtu.be/uhgWLiZfCcI" TargetMode="External"/><Relationship Id="rId24" Type="http://schemas.openxmlformats.org/officeDocument/2006/relationships/hyperlink" Target="https://youtu.be/8RagjGreX24" TargetMode="External"/><Relationship Id="rId40" Type="http://schemas.openxmlformats.org/officeDocument/2006/relationships/hyperlink" Target="https://youtu.be/O5xAZUWtX4A" TargetMode="External"/><Relationship Id="rId45" Type="http://schemas.openxmlformats.org/officeDocument/2006/relationships/hyperlink" Target="https://youtu.be/6hJBLJV06Gw" TargetMode="External"/><Relationship Id="rId66" Type="http://schemas.openxmlformats.org/officeDocument/2006/relationships/hyperlink" Target="https://www.youtube.com/watch?v=Cic0o8zPEuQ" TargetMode="External"/><Relationship Id="rId87" Type="http://schemas.openxmlformats.org/officeDocument/2006/relationships/hyperlink" Target="https://youtu.be/TtvjF6en4cs" TargetMode="External"/><Relationship Id="rId110" Type="http://schemas.openxmlformats.org/officeDocument/2006/relationships/hyperlink" Target="https://youtu.be/9SgO2M2-0NY" TargetMode="External"/><Relationship Id="rId115" Type="http://schemas.openxmlformats.org/officeDocument/2006/relationships/hyperlink" Target="https://youtu.be/lYzY6uSYTkM" TargetMode="External"/><Relationship Id="rId131" Type="http://schemas.openxmlformats.org/officeDocument/2006/relationships/hyperlink" Target="https://youtu.be/uKwE3UeQfMo" TargetMode="External"/><Relationship Id="rId136" Type="http://schemas.openxmlformats.org/officeDocument/2006/relationships/hyperlink" Target="https://youtu.be/nLQhm5nzeqE" TargetMode="External"/><Relationship Id="rId61" Type="http://schemas.openxmlformats.org/officeDocument/2006/relationships/hyperlink" Target="https://youtu.be/qr8o1bw04Mg?si=HLf2NY-O20Kkn6FG" TargetMode="External"/><Relationship Id="rId82" Type="http://schemas.openxmlformats.org/officeDocument/2006/relationships/hyperlink" Target="https://youtu.be/mgsT8Tq5jd0" TargetMode="External"/><Relationship Id="rId152" Type="http://schemas.openxmlformats.org/officeDocument/2006/relationships/hyperlink" Target="https://youtu.be/pfeydx_KDmU" TargetMode="External"/><Relationship Id="rId19" Type="http://schemas.openxmlformats.org/officeDocument/2006/relationships/hyperlink" Target="https://youtu.be/cpRWGgR3jBw" TargetMode="External"/><Relationship Id="rId14" Type="http://schemas.openxmlformats.org/officeDocument/2006/relationships/hyperlink" Target="https://youtu.be/OOAiOFsq2wY" TargetMode="External"/><Relationship Id="rId30" Type="http://schemas.openxmlformats.org/officeDocument/2006/relationships/hyperlink" Target="https://youtu.be/YAo0lLhpFk4" TargetMode="External"/><Relationship Id="rId35" Type="http://schemas.openxmlformats.org/officeDocument/2006/relationships/hyperlink" Target="https://youtu.be/G0BbU1P4lkg" TargetMode="External"/><Relationship Id="rId56" Type="http://schemas.openxmlformats.org/officeDocument/2006/relationships/hyperlink" Target="https://youtu.be/oYjE9nfJN5Y" TargetMode="External"/><Relationship Id="rId77" Type="http://schemas.openxmlformats.org/officeDocument/2006/relationships/hyperlink" Target="https://youtu.be/HK_yyPgBpo8" TargetMode="External"/><Relationship Id="rId100" Type="http://schemas.openxmlformats.org/officeDocument/2006/relationships/hyperlink" Target="https://youtu.be/yBmT91FzFbc" TargetMode="External"/><Relationship Id="rId105" Type="http://schemas.openxmlformats.org/officeDocument/2006/relationships/hyperlink" Target="https://youtu.be/58RNKYeGgCk" TargetMode="External"/><Relationship Id="rId126" Type="http://schemas.openxmlformats.org/officeDocument/2006/relationships/hyperlink" Target="https://youtu.be/8MhwHrugLYY" TargetMode="External"/><Relationship Id="rId147" Type="http://schemas.openxmlformats.org/officeDocument/2006/relationships/hyperlink" Target="https://youtu.be/_0-9tPFXk5I" TargetMode="External"/><Relationship Id="rId8" Type="http://schemas.openxmlformats.org/officeDocument/2006/relationships/hyperlink" Target="https://youtu.be/8ov7x9nqmsw" TargetMode="External"/><Relationship Id="rId51" Type="http://schemas.openxmlformats.org/officeDocument/2006/relationships/hyperlink" Target="https://youtu.be/pl4c6XjW5bg" TargetMode="External"/><Relationship Id="rId72" Type="http://schemas.openxmlformats.org/officeDocument/2006/relationships/hyperlink" Target="https://youtu.be/n_rnVEv8F0U" TargetMode="External"/><Relationship Id="rId93" Type="http://schemas.openxmlformats.org/officeDocument/2006/relationships/hyperlink" Target="https://youtu.be/Wl04ggpMLsk" TargetMode="External"/><Relationship Id="rId98" Type="http://schemas.openxmlformats.org/officeDocument/2006/relationships/hyperlink" Target="https://youtu.be/xlnCH7PGeKo" TargetMode="External"/><Relationship Id="rId121" Type="http://schemas.openxmlformats.org/officeDocument/2006/relationships/hyperlink" Target="https://youtu.be/euAb6U9Cgxo" TargetMode="External"/><Relationship Id="rId142" Type="http://schemas.openxmlformats.org/officeDocument/2006/relationships/hyperlink" Target="https://youtu.be/0Rx26HcEa5E" TargetMode="External"/><Relationship Id="rId3" Type="http://schemas.openxmlformats.org/officeDocument/2006/relationships/hyperlink" Target="https://youtu.be/OErbryXfRQ0" TargetMode="External"/><Relationship Id="rId25" Type="http://schemas.openxmlformats.org/officeDocument/2006/relationships/hyperlink" Target="https://youtu.be/7_ezfTnkY_c" TargetMode="External"/><Relationship Id="rId46" Type="http://schemas.openxmlformats.org/officeDocument/2006/relationships/hyperlink" Target="https://youtu.be/-wfpJfiwrOw" TargetMode="External"/><Relationship Id="rId67" Type="http://schemas.openxmlformats.org/officeDocument/2006/relationships/hyperlink" Target="https://youtu.be/cVRxHmAB2Fc" TargetMode="External"/><Relationship Id="rId116" Type="http://schemas.openxmlformats.org/officeDocument/2006/relationships/hyperlink" Target="https://youtu.be/hyTgvJFw4c8" TargetMode="External"/><Relationship Id="rId137" Type="http://schemas.openxmlformats.org/officeDocument/2006/relationships/hyperlink" Target="https://youtu.be/hi36KPIYbj0" TargetMode="External"/><Relationship Id="rId20" Type="http://schemas.openxmlformats.org/officeDocument/2006/relationships/hyperlink" Target="https://youtu.be/ZTFHWG_AcHI" TargetMode="External"/><Relationship Id="rId41" Type="http://schemas.openxmlformats.org/officeDocument/2006/relationships/hyperlink" Target="https://youtu.be/Srfkx-ePXsE" TargetMode="External"/><Relationship Id="rId62" Type="http://schemas.openxmlformats.org/officeDocument/2006/relationships/hyperlink" Target="https://youtu.be/uDhtDK-6Y8A?si=dsWIkOMXdDSPocv9" TargetMode="External"/><Relationship Id="rId83" Type="http://schemas.openxmlformats.org/officeDocument/2006/relationships/hyperlink" Target="https://youtu.be/-MUV9nb-HL4" TargetMode="External"/><Relationship Id="rId88" Type="http://schemas.openxmlformats.org/officeDocument/2006/relationships/hyperlink" Target="https://youtu.be/64pi49O7bRE" TargetMode="External"/><Relationship Id="rId111" Type="http://schemas.openxmlformats.org/officeDocument/2006/relationships/hyperlink" Target="https://youtu.be/TP1y5Qg7-Sc" TargetMode="External"/><Relationship Id="rId132" Type="http://schemas.openxmlformats.org/officeDocument/2006/relationships/hyperlink" Target="https://youtu.be/TS9dUMRw31Q" TargetMode="External"/><Relationship Id="rId153" Type="http://schemas.openxmlformats.org/officeDocument/2006/relationships/hyperlink" Target="https://youtu.be/n9nRcBtWabI" TargetMode="External"/><Relationship Id="rId15" Type="http://schemas.openxmlformats.org/officeDocument/2006/relationships/hyperlink" Target="https://youtu.be/KGBETVXwqqs" TargetMode="External"/><Relationship Id="rId36" Type="http://schemas.openxmlformats.org/officeDocument/2006/relationships/hyperlink" Target="https://youtu.be/_TkLn2dKyts" TargetMode="External"/><Relationship Id="rId57" Type="http://schemas.openxmlformats.org/officeDocument/2006/relationships/hyperlink" Target="https://youtu.be/K1plLFZYmYE" TargetMode="External"/><Relationship Id="rId106" Type="http://schemas.openxmlformats.org/officeDocument/2006/relationships/hyperlink" Target="https://youtu.be/tDXQsIddgy0" TargetMode="External"/><Relationship Id="rId127" Type="http://schemas.openxmlformats.org/officeDocument/2006/relationships/hyperlink" Target="https://youtu.be/mwTMOKXwPTY" TargetMode="External"/><Relationship Id="rId10" Type="http://schemas.openxmlformats.org/officeDocument/2006/relationships/hyperlink" Target="https://youtu.be/p2h_lPD1D3I" TargetMode="External"/><Relationship Id="rId31" Type="http://schemas.openxmlformats.org/officeDocument/2006/relationships/hyperlink" Target="https://youtu.be/8GS7nFjomr8" TargetMode="External"/><Relationship Id="rId52" Type="http://schemas.openxmlformats.org/officeDocument/2006/relationships/hyperlink" Target="https://youtu.be/X6DBZD1OZfE" TargetMode="External"/><Relationship Id="rId73" Type="http://schemas.openxmlformats.org/officeDocument/2006/relationships/hyperlink" Target="https://youtu.be/acCeZ18-N84" TargetMode="External"/><Relationship Id="rId78" Type="http://schemas.openxmlformats.org/officeDocument/2006/relationships/hyperlink" Target="https://youtu.be/crCuEAOqatU" TargetMode="External"/><Relationship Id="rId94" Type="http://schemas.openxmlformats.org/officeDocument/2006/relationships/hyperlink" Target="https://youtu.be/vgFCs1OtnnY" TargetMode="External"/><Relationship Id="rId99" Type="http://schemas.openxmlformats.org/officeDocument/2006/relationships/hyperlink" Target="https://youtu.be/By2_5MLd_fo" TargetMode="External"/><Relationship Id="rId101" Type="http://schemas.openxmlformats.org/officeDocument/2006/relationships/hyperlink" Target="https://youtu.be/H-TcC2uTrwo" TargetMode="External"/><Relationship Id="rId122" Type="http://schemas.openxmlformats.org/officeDocument/2006/relationships/hyperlink" Target="https://youtu.be/DiTOMKcJMck" TargetMode="External"/><Relationship Id="rId143" Type="http://schemas.openxmlformats.org/officeDocument/2006/relationships/hyperlink" Target="https://youtu.be/FsrI35sNSqQ" TargetMode="External"/><Relationship Id="rId148" Type="http://schemas.openxmlformats.org/officeDocument/2006/relationships/hyperlink" Target="https://youtu.be/D6K_3EdImaA" TargetMode="External"/><Relationship Id="rId4" Type="http://schemas.openxmlformats.org/officeDocument/2006/relationships/hyperlink" Target="https://youtu.be/buDmxcdGOqQ" TargetMode="External"/><Relationship Id="rId9" Type="http://schemas.openxmlformats.org/officeDocument/2006/relationships/hyperlink" Target="https://youtu.be/nbrfaov8m-c" TargetMode="External"/><Relationship Id="rId26" Type="http://schemas.openxmlformats.org/officeDocument/2006/relationships/hyperlink" Target="https://youtu.be/Aj_2J6KkviQ" TargetMode="External"/><Relationship Id="rId47" Type="http://schemas.openxmlformats.org/officeDocument/2006/relationships/hyperlink" Target="https://youtu.be/H0D75GMHGmI" TargetMode="External"/><Relationship Id="rId68" Type="http://schemas.openxmlformats.org/officeDocument/2006/relationships/hyperlink" Target="https://youtu.be/6u5fwt64oSg" TargetMode="External"/><Relationship Id="rId89" Type="http://schemas.openxmlformats.org/officeDocument/2006/relationships/hyperlink" Target="https://youtu.be/xHl9P-HbF5w" TargetMode="External"/><Relationship Id="rId112" Type="http://schemas.openxmlformats.org/officeDocument/2006/relationships/hyperlink" Target="https://youtu.be/9yTIld5Vuq4" TargetMode="External"/><Relationship Id="rId133" Type="http://schemas.openxmlformats.org/officeDocument/2006/relationships/hyperlink" Target="https://youtu.be/HdSGtt-OQqo" TargetMode="External"/><Relationship Id="rId154" Type="http://schemas.openxmlformats.org/officeDocument/2006/relationships/table" Target="../tables/table3.xml"/><Relationship Id="rId16" Type="http://schemas.openxmlformats.org/officeDocument/2006/relationships/hyperlink" Target="https://youtu.be/VnoIe6oW4Uk" TargetMode="External"/><Relationship Id="rId37" Type="http://schemas.openxmlformats.org/officeDocument/2006/relationships/hyperlink" Target="https://youtu.be/qMVuts-3vAw" TargetMode="External"/><Relationship Id="rId58" Type="http://schemas.openxmlformats.org/officeDocument/2006/relationships/hyperlink" Target="https://youtu.be/CINghsZEA4I" TargetMode="External"/><Relationship Id="rId79" Type="http://schemas.openxmlformats.org/officeDocument/2006/relationships/hyperlink" Target="https://youtu.be/B0wdJOjH4F8" TargetMode="External"/><Relationship Id="rId102" Type="http://schemas.openxmlformats.org/officeDocument/2006/relationships/hyperlink" Target="https://youtu.be/3OG3XCjHQo0" TargetMode="External"/><Relationship Id="rId123" Type="http://schemas.openxmlformats.org/officeDocument/2006/relationships/hyperlink" Target="https://youtu.be/6qkCNKAUo08" TargetMode="External"/><Relationship Id="rId144" Type="http://schemas.openxmlformats.org/officeDocument/2006/relationships/hyperlink" Target="https://youtu.be/AJTrk3snY-U" TargetMode="External"/><Relationship Id="rId90" Type="http://schemas.openxmlformats.org/officeDocument/2006/relationships/hyperlink" Target="https://youtu.be/G5bj38Z8TQc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ihPCJKjn_q0" TargetMode="External"/><Relationship Id="rId117" Type="http://schemas.openxmlformats.org/officeDocument/2006/relationships/table" Target="../tables/table4.xml"/><Relationship Id="rId21" Type="http://schemas.openxmlformats.org/officeDocument/2006/relationships/hyperlink" Target="https://youtu.be/xDMY4tAoalU?si=KZm2KTM2C6A8tdvw" TargetMode="External"/><Relationship Id="rId42" Type="http://schemas.openxmlformats.org/officeDocument/2006/relationships/hyperlink" Target="https://youtu.be/SBtJX6-Makg" TargetMode="External"/><Relationship Id="rId47" Type="http://schemas.openxmlformats.org/officeDocument/2006/relationships/hyperlink" Target="https://youtu.be/mhyfEzy0y9k" TargetMode="External"/><Relationship Id="rId63" Type="http://schemas.openxmlformats.org/officeDocument/2006/relationships/hyperlink" Target="https://youtu.be/54qdBmE7jZo" TargetMode="External"/><Relationship Id="rId68" Type="http://schemas.openxmlformats.org/officeDocument/2006/relationships/hyperlink" Target="https://youtu.be/2VXlU-0oUEw" TargetMode="External"/><Relationship Id="rId84" Type="http://schemas.openxmlformats.org/officeDocument/2006/relationships/hyperlink" Target="https://youtu.be/-8MDmIEU2Ik" TargetMode="External"/><Relationship Id="rId89" Type="http://schemas.openxmlformats.org/officeDocument/2006/relationships/hyperlink" Target="https://youtu.be/dvvJYejZwxY" TargetMode="External"/><Relationship Id="rId112" Type="http://schemas.openxmlformats.org/officeDocument/2006/relationships/hyperlink" Target="https://youtu.be/JdKyRoYiKI0" TargetMode="External"/><Relationship Id="rId16" Type="http://schemas.openxmlformats.org/officeDocument/2006/relationships/hyperlink" Target="https://youtu.be/dB07weexLms?si=rO0GB7cJEFLOqUmR" TargetMode="External"/><Relationship Id="rId107" Type="http://schemas.openxmlformats.org/officeDocument/2006/relationships/hyperlink" Target="https://youtu.be/J-AhtxOVyvs" TargetMode="External"/><Relationship Id="rId11" Type="http://schemas.openxmlformats.org/officeDocument/2006/relationships/hyperlink" Target="https://youtu.be/Mws_8uGZmqA" TargetMode="External"/><Relationship Id="rId32" Type="http://schemas.openxmlformats.org/officeDocument/2006/relationships/hyperlink" Target="https://youtu.be/WDQ4VgOai0o" TargetMode="External"/><Relationship Id="rId37" Type="http://schemas.openxmlformats.org/officeDocument/2006/relationships/hyperlink" Target="https://youtu.be/kVZVVxQVcHE" TargetMode="External"/><Relationship Id="rId53" Type="http://schemas.openxmlformats.org/officeDocument/2006/relationships/hyperlink" Target="https://youtu.be/MW7WzjEA1pQ" TargetMode="External"/><Relationship Id="rId58" Type="http://schemas.openxmlformats.org/officeDocument/2006/relationships/hyperlink" Target="https://youtu.be/DISOzD1haGY" TargetMode="External"/><Relationship Id="rId74" Type="http://schemas.openxmlformats.org/officeDocument/2006/relationships/hyperlink" Target="https://youtu.be/cnR-R9Q58e8" TargetMode="External"/><Relationship Id="rId79" Type="http://schemas.openxmlformats.org/officeDocument/2006/relationships/hyperlink" Target="https://youtu.be/1V3-0lOLwhs" TargetMode="External"/><Relationship Id="rId102" Type="http://schemas.openxmlformats.org/officeDocument/2006/relationships/hyperlink" Target="https://youtu.be/_HY8w4RQTR0" TargetMode="External"/><Relationship Id="rId5" Type="http://schemas.openxmlformats.org/officeDocument/2006/relationships/hyperlink" Target="https://youtu.be/NeKz3lg62wo" TargetMode="External"/><Relationship Id="rId90" Type="http://schemas.openxmlformats.org/officeDocument/2006/relationships/hyperlink" Target="https://youtu.be/2EbEH0JRiv0" TargetMode="External"/><Relationship Id="rId95" Type="http://schemas.openxmlformats.org/officeDocument/2006/relationships/hyperlink" Target="https://youtu.be/LK-7fpdyeYY" TargetMode="External"/><Relationship Id="rId22" Type="http://schemas.openxmlformats.org/officeDocument/2006/relationships/hyperlink" Target="https://youtu.be/I35VBiE9DG8?si=FZ3oCAxna0t40-_9" TargetMode="External"/><Relationship Id="rId27" Type="http://schemas.openxmlformats.org/officeDocument/2006/relationships/hyperlink" Target="https://youtu.be/l1hzY8d3sqE" TargetMode="External"/><Relationship Id="rId43" Type="http://schemas.openxmlformats.org/officeDocument/2006/relationships/hyperlink" Target="https://youtu.be/QVaXU3yknSM" TargetMode="External"/><Relationship Id="rId48" Type="http://schemas.openxmlformats.org/officeDocument/2006/relationships/hyperlink" Target="https://youtu.be/d2tUKoljzps" TargetMode="External"/><Relationship Id="rId64" Type="http://schemas.openxmlformats.org/officeDocument/2006/relationships/hyperlink" Target="https://youtu.be/10yYNETptbo" TargetMode="External"/><Relationship Id="rId69" Type="http://schemas.openxmlformats.org/officeDocument/2006/relationships/hyperlink" Target="https://youtu.be/VlG-SJA2vIk" TargetMode="External"/><Relationship Id="rId113" Type="http://schemas.openxmlformats.org/officeDocument/2006/relationships/hyperlink" Target="https://youtu.be/HWn_m-G1ffY" TargetMode="External"/><Relationship Id="rId80" Type="http://schemas.openxmlformats.org/officeDocument/2006/relationships/hyperlink" Target="https://youtu.be/TEIe7R9whW4" TargetMode="External"/><Relationship Id="rId85" Type="http://schemas.openxmlformats.org/officeDocument/2006/relationships/hyperlink" Target="https://youtu.be/Dhv2tlF9Fhg" TargetMode="External"/><Relationship Id="rId12" Type="http://schemas.openxmlformats.org/officeDocument/2006/relationships/hyperlink" Target="https://youtu.be/OT9hZnkKe08" TargetMode="External"/><Relationship Id="rId17" Type="http://schemas.openxmlformats.org/officeDocument/2006/relationships/hyperlink" Target="https://youtu.be/fWf2FRFafPE?si=dVvhl6aFmyiCFT1x" TargetMode="External"/><Relationship Id="rId33" Type="http://schemas.openxmlformats.org/officeDocument/2006/relationships/hyperlink" Target="https://youtu.be/sWm8M5ODp0c" TargetMode="External"/><Relationship Id="rId38" Type="http://schemas.openxmlformats.org/officeDocument/2006/relationships/hyperlink" Target="https://youtu.be/2qD3yjrhwLA" TargetMode="External"/><Relationship Id="rId59" Type="http://schemas.openxmlformats.org/officeDocument/2006/relationships/hyperlink" Target="https://youtu.be/i1KTMVrEJTo" TargetMode="External"/><Relationship Id="rId103" Type="http://schemas.openxmlformats.org/officeDocument/2006/relationships/hyperlink" Target="https://youtu.be/lvUA0qv-qSM" TargetMode="External"/><Relationship Id="rId108" Type="http://schemas.openxmlformats.org/officeDocument/2006/relationships/hyperlink" Target="https://youtu.be/gc1p4nV_Ecw" TargetMode="External"/><Relationship Id="rId54" Type="http://schemas.openxmlformats.org/officeDocument/2006/relationships/hyperlink" Target="https://youtu.be/TKQaMRc6HD4" TargetMode="External"/><Relationship Id="rId70" Type="http://schemas.openxmlformats.org/officeDocument/2006/relationships/hyperlink" Target="https://youtu.be/tQMou9x4yU4" TargetMode="External"/><Relationship Id="rId75" Type="http://schemas.openxmlformats.org/officeDocument/2006/relationships/hyperlink" Target="https://youtu.be/napajU8R570" TargetMode="External"/><Relationship Id="rId91" Type="http://schemas.openxmlformats.org/officeDocument/2006/relationships/hyperlink" Target="https://youtu.be/q6ur909mg1I" TargetMode="External"/><Relationship Id="rId96" Type="http://schemas.openxmlformats.org/officeDocument/2006/relationships/hyperlink" Target="https://youtu.be/8Uv_ii6S7o8" TargetMode="External"/><Relationship Id="rId1" Type="http://schemas.openxmlformats.org/officeDocument/2006/relationships/hyperlink" Target="https://youtu.be/jeJA6oiC-dw" TargetMode="External"/><Relationship Id="rId6" Type="http://schemas.openxmlformats.org/officeDocument/2006/relationships/hyperlink" Target="https://youtu.be/VaIHfRWD9uU" TargetMode="External"/><Relationship Id="rId23" Type="http://schemas.openxmlformats.org/officeDocument/2006/relationships/hyperlink" Target="https://www.youtube.com/watch?v=kIH-GQQDPw4" TargetMode="External"/><Relationship Id="rId28" Type="http://schemas.openxmlformats.org/officeDocument/2006/relationships/hyperlink" Target="https://youtu.be/_wYN-s6zYXw" TargetMode="External"/><Relationship Id="rId49" Type="http://schemas.openxmlformats.org/officeDocument/2006/relationships/hyperlink" Target="https://youtu.be/1LgZ1haQLaU" TargetMode="External"/><Relationship Id="rId114" Type="http://schemas.openxmlformats.org/officeDocument/2006/relationships/hyperlink" Target="https://youtu.be/e9kEuukgRRQ" TargetMode="External"/><Relationship Id="rId10" Type="http://schemas.openxmlformats.org/officeDocument/2006/relationships/hyperlink" Target="https://youtu.be/rZ67pSR2434" TargetMode="External"/><Relationship Id="rId31" Type="http://schemas.openxmlformats.org/officeDocument/2006/relationships/hyperlink" Target="https://youtu.be/6UuZ0Gtif0A" TargetMode="External"/><Relationship Id="rId44" Type="http://schemas.openxmlformats.org/officeDocument/2006/relationships/hyperlink" Target="https://www.youtube.com/watch?v=TtXLix2niuc" TargetMode="External"/><Relationship Id="rId52" Type="http://schemas.openxmlformats.org/officeDocument/2006/relationships/hyperlink" Target="https://youtu.be/5JcyMIOUsgM" TargetMode="External"/><Relationship Id="rId60" Type="http://schemas.openxmlformats.org/officeDocument/2006/relationships/hyperlink" Target="https://youtu.be/CmKVGBZmRTg" TargetMode="External"/><Relationship Id="rId65" Type="http://schemas.openxmlformats.org/officeDocument/2006/relationships/hyperlink" Target="https://youtu.be/tqCGkRAJzrs" TargetMode="External"/><Relationship Id="rId73" Type="http://schemas.openxmlformats.org/officeDocument/2006/relationships/hyperlink" Target="https://youtu.be/SHIeF8K_x8w" TargetMode="External"/><Relationship Id="rId78" Type="http://schemas.openxmlformats.org/officeDocument/2006/relationships/hyperlink" Target="https://youtu.be/MkggxRUAqJY" TargetMode="External"/><Relationship Id="rId81" Type="http://schemas.openxmlformats.org/officeDocument/2006/relationships/hyperlink" Target="https://youtu.be/RlzHOTCgU6o" TargetMode="External"/><Relationship Id="rId86" Type="http://schemas.openxmlformats.org/officeDocument/2006/relationships/hyperlink" Target="https://youtu.be/1QRJ7kdDUvA" TargetMode="External"/><Relationship Id="rId94" Type="http://schemas.openxmlformats.org/officeDocument/2006/relationships/hyperlink" Target="https://youtu.be/jdqFcjb8WN4" TargetMode="External"/><Relationship Id="rId99" Type="http://schemas.openxmlformats.org/officeDocument/2006/relationships/hyperlink" Target="https://youtu.be/DaWyleCCkT8" TargetMode="External"/><Relationship Id="rId101" Type="http://schemas.openxmlformats.org/officeDocument/2006/relationships/hyperlink" Target="https://youtu.be/Ob7IgTJUP8o" TargetMode="External"/><Relationship Id="rId4" Type="http://schemas.openxmlformats.org/officeDocument/2006/relationships/hyperlink" Target="https://youtu.be/TLmxavD1diU" TargetMode="External"/><Relationship Id="rId9" Type="http://schemas.openxmlformats.org/officeDocument/2006/relationships/hyperlink" Target="https://youtu.be/OCGWSjcFRus" TargetMode="External"/><Relationship Id="rId13" Type="http://schemas.openxmlformats.org/officeDocument/2006/relationships/hyperlink" Target="https://youtu.be/HlhphYiu5B0" TargetMode="External"/><Relationship Id="rId18" Type="http://schemas.openxmlformats.org/officeDocument/2006/relationships/hyperlink" Target="https://youtu.be/NfPhWmIXV4E?si=gA6nZPaQHuNoNh1V" TargetMode="External"/><Relationship Id="rId39" Type="http://schemas.openxmlformats.org/officeDocument/2006/relationships/hyperlink" Target="https://youtu.be/ANyEy8UXcyg" TargetMode="External"/><Relationship Id="rId109" Type="http://schemas.openxmlformats.org/officeDocument/2006/relationships/hyperlink" Target="https://youtu.be/SVu---Y6Slg" TargetMode="External"/><Relationship Id="rId34" Type="http://schemas.openxmlformats.org/officeDocument/2006/relationships/hyperlink" Target="https://youtu.be/dMfnE-rMEdI" TargetMode="External"/><Relationship Id="rId50" Type="http://schemas.openxmlformats.org/officeDocument/2006/relationships/hyperlink" Target="https://youtu.be/Xg_agyA5zX8" TargetMode="External"/><Relationship Id="rId55" Type="http://schemas.openxmlformats.org/officeDocument/2006/relationships/hyperlink" Target="https://youtu.be/CwfhAsvvNMM" TargetMode="External"/><Relationship Id="rId76" Type="http://schemas.openxmlformats.org/officeDocument/2006/relationships/hyperlink" Target="https://youtu.be/ZteKAl_Tgeg" TargetMode="External"/><Relationship Id="rId97" Type="http://schemas.openxmlformats.org/officeDocument/2006/relationships/hyperlink" Target="https://youtu.be/BbY-hKfRW-4" TargetMode="External"/><Relationship Id="rId104" Type="http://schemas.openxmlformats.org/officeDocument/2006/relationships/hyperlink" Target="https://youtu.be/j0GovMdkEyM" TargetMode="External"/><Relationship Id="rId7" Type="http://schemas.openxmlformats.org/officeDocument/2006/relationships/hyperlink" Target="https://youtu.be/ih7w4bkKtjE" TargetMode="External"/><Relationship Id="rId71" Type="http://schemas.openxmlformats.org/officeDocument/2006/relationships/hyperlink" Target="https://youtu.be/rQrKqbucaBE" TargetMode="External"/><Relationship Id="rId92" Type="http://schemas.openxmlformats.org/officeDocument/2006/relationships/hyperlink" Target="https://youtu.be/TBLyTJgMats" TargetMode="External"/><Relationship Id="rId2" Type="http://schemas.openxmlformats.org/officeDocument/2006/relationships/hyperlink" Target="https://youtu.be/QfddAgDyZhc" TargetMode="External"/><Relationship Id="rId29" Type="http://schemas.openxmlformats.org/officeDocument/2006/relationships/hyperlink" Target="https://youtu.be/gOnMFiZFlsk" TargetMode="External"/><Relationship Id="rId24" Type="http://schemas.openxmlformats.org/officeDocument/2006/relationships/hyperlink" Target="https://www.youtube.com/watch?v=81TqF-Z-4ws" TargetMode="External"/><Relationship Id="rId40" Type="http://schemas.openxmlformats.org/officeDocument/2006/relationships/hyperlink" Target="https://youtu.be/KJk93CoTnqg" TargetMode="External"/><Relationship Id="rId45" Type="http://schemas.openxmlformats.org/officeDocument/2006/relationships/hyperlink" Target="https://youtu.be/B0UvWA1auxY" TargetMode="External"/><Relationship Id="rId66" Type="http://schemas.openxmlformats.org/officeDocument/2006/relationships/hyperlink" Target="https://youtu.be/pO-7SA75sYY" TargetMode="External"/><Relationship Id="rId87" Type="http://schemas.openxmlformats.org/officeDocument/2006/relationships/hyperlink" Target="https://youtu.be/fkRgszY9qVM" TargetMode="External"/><Relationship Id="rId110" Type="http://schemas.openxmlformats.org/officeDocument/2006/relationships/hyperlink" Target="https://youtu.be/0qQqZId9oe0" TargetMode="External"/><Relationship Id="rId115" Type="http://schemas.openxmlformats.org/officeDocument/2006/relationships/hyperlink" Target="https://youtu.be/6SCH-c86QWk" TargetMode="External"/><Relationship Id="rId61" Type="http://schemas.openxmlformats.org/officeDocument/2006/relationships/hyperlink" Target="https://youtu.be/hk8hU_LFf0M" TargetMode="External"/><Relationship Id="rId82" Type="http://schemas.openxmlformats.org/officeDocument/2006/relationships/hyperlink" Target="https://youtu.be/G8A6w2-4TFU" TargetMode="External"/><Relationship Id="rId19" Type="http://schemas.openxmlformats.org/officeDocument/2006/relationships/hyperlink" Target="https://youtu.be/lrOghJ7QLEY?si=cKx8bdPuJLLubh2T" TargetMode="External"/><Relationship Id="rId14" Type="http://schemas.openxmlformats.org/officeDocument/2006/relationships/hyperlink" Target="https://youtu.be/m1yhUiYBLNI" TargetMode="External"/><Relationship Id="rId30" Type="http://schemas.openxmlformats.org/officeDocument/2006/relationships/hyperlink" Target="https://youtu.be/tF4LBpGRlWU" TargetMode="External"/><Relationship Id="rId35" Type="http://schemas.openxmlformats.org/officeDocument/2006/relationships/hyperlink" Target="https://youtu.be/8TGXfJu7C-w" TargetMode="External"/><Relationship Id="rId56" Type="http://schemas.openxmlformats.org/officeDocument/2006/relationships/hyperlink" Target="https://youtu.be/ub-gNx1BZPI" TargetMode="External"/><Relationship Id="rId77" Type="http://schemas.openxmlformats.org/officeDocument/2006/relationships/hyperlink" Target="https://youtu.be/8SLBzq-sbZ8" TargetMode="External"/><Relationship Id="rId100" Type="http://schemas.openxmlformats.org/officeDocument/2006/relationships/hyperlink" Target="https://youtu.be/nndw2Hvw6eM" TargetMode="External"/><Relationship Id="rId105" Type="http://schemas.openxmlformats.org/officeDocument/2006/relationships/hyperlink" Target="https://youtu.be/ZqigZJP0tc0" TargetMode="External"/><Relationship Id="rId8" Type="http://schemas.openxmlformats.org/officeDocument/2006/relationships/hyperlink" Target="https://youtu.be/LgVvschB7jg" TargetMode="External"/><Relationship Id="rId51" Type="http://schemas.openxmlformats.org/officeDocument/2006/relationships/hyperlink" Target="https://youtu.be/dVwDR7Tjw8M" TargetMode="External"/><Relationship Id="rId72" Type="http://schemas.openxmlformats.org/officeDocument/2006/relationships/hyperlink" Target="https://youtu.be/43K6_VqpB8Y" TargetMode="External"/><Relationship Id="rId93" Type="http://schemas.openxmlformats.org/officeDocument/2006/relationships/hyperlink" Target="https://youtu.be/u-flTjErc-M" TargetMode="External"/><Relationship Id="rId98" Type="http://schemas.openxmlformats.org/officeDocument/2006/relationships/hyperlink" Target="https://youtu.be/aOLlLlZDSPw" TargetMode="External"/><Relationship Id="rId3" Type="http://schemas.openxmlformats.org/officeDocument/2006/relationships/hyperlink" Target="https://youtu.be/6IHJ0P2EsJw" TargetMode="External"/><Relationship Id="rId25" Type="http://schemas.openxmlformats.org/officeDocument/2006/relationships/hyperlink" Target="https://youtu.be/jt6PmaRC_z4" TargetMode="External"/><Relationship Id="rId46" Type="http://schemas.openxmlformats.org/officeDocument/2006/relationships/hyperlink" Target="https://youtu.be/KoJkyWxTGZk" TargetMode="External"/><Relationship Id="rId67" Type="http://schemas.openxmlformats.org/officeDocument/2006/relationships/hyperlink" Target="https://youtu.be/1MPSef5kcLA" TargetMode="External"/><Relationship Id="rId116" Type="http://schemas.openxmlformats.org/officeDocument/2006/relationships/printerSettings" Target="../printerSettings/printerSettings2.bin"/><Relationship Id="rId20" Type="http://schemas.openxmlformats.org/officeDocument/2006/relationships/hyperlink" Target="https://youtu.be/NIXZDqJ--dU?si=Xfe-Ke6dva1Xv3nW" TargetMode="External"/><Relationship Id="rId41" Type="http://schemas.openxmlformats.org/officeDocument/2006/relationships/hyperlink" Target="https://www.youtube.com/watch?v=eRvgahQpzZI" TargetMode="External"/><Relationship Id="rId62" Type="http://schemas.openxmlformats.org/officeDocument/2006/relationships/hyperlink" Target="https://youtu.be/9uLzby9SKfw" TargetMode="External"/><Relationship Id="rId83" Type="http://schemas.openxmlformats.org/officeDocument/2006/relationships/hyperlink" Target="https://youtu.be/AjoXgsm3Pws" TargetMode="External"/><Relationship Id="rId88" Type="http://schemas.openxmlformats.org/officeDocument/2006/relationships/hyperlink" Target="https://youtu.be/_JK2yQB4zf8" TargetMode="External"/><Relationship Id="rId111" Type="http://schemas.openxmlformats.org/officeDocument/2006/relationships/hyperlink" Target="https://youtu.be/PIU9rt1LsxE" TargetMode="External"/><Relationship Id="rId15" Type="http://schemas.openxmlformats.org/officeDocument/2006/relationships/hyperlink" Target="https://youtu.be/s7_MhQ_RNW8" TargetMode="External"/><Relationship Id="rId36" Type="http://schemas.openxmlformats.org/officeDocument/2006/relationships/hyperlink" Target="https://youtu.be/dgnxTPl6qFo" TargetMode="External"/><Relationship Id="rId57" Type="http://schemas.openxmlformats.org/officeDocument/2006/relationships/hyperlink" Target="https://youtu.be/laJNNnkXrx4" TargetMode="External"/><Relationship Id="rId106" Type="http://schemas.openxmlformats.org/officeDocument/2006/relationships/hyperlink" Target="https://youtu.be/6KzMOcPfgjk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5B79yHapsq8" TargetMode="External"/><Relationship Id="rId21" Type="http://schemas.openxmlformats.org/officeDocument/2006/relationships/hyperlink" Target="https://youtu.be/hrLYydmeITw" TargetMode="External"/><Relationship Id="rId42" Type="http://schemas.openxmlformats.org/officeDocument/2006/relationships/hyperlink" Target="https://youtu.be/DoeC1wQm2Lo" TargetMode="External"/><Relationship Id="rId47" Type="http://schemas.openxmlformats.org/officeDocument/2006/relationships/hyperlink" Target="https://youtu.be/Ypp784G3fJk" TargetMode="External"/><Relationship Id="rId63" Type="http://schemas.openxmlformats.org/officeDocument/2006/relationships/hyperlink" Target="https://youtu.be/mJfCq2nXPCM" TargetMode="External"/><Relationship Id="rId68" Type="http://schemas.openxmlformats.org/officeDocument/2006/relationships/hyperlink" Target="https://youtu.be/m0aXpy90ecE" TargetMode="External"/><Relationship Id="rId84" Type="http://schemas.openxmlformats.org/officeDocument/2006/relationships/hyperlink" Target="https://youtu.be/e3aQZ6M6b98" TargetMode="External"/><Relationship Id="rId89" Type="http://schemas.openxmlformats.org/officeDocument/2006/relationships/hyperlink" Target="https://youtu.be/-chzfQorwAI" TargetMode="External"/><Relationship Id="rId16" Type="http://schemas.openxmlformats.org/officeDocument/2006/relationships/hyperlink" Target="https://youtu.be/qD5WeCvBZXo" TargetMode="External"/><Relationship Id="rId11" Type="http://schemas.openxmlformats.org/officeDocument/2006/relationships/hyperlink" Target="https://youtu.be/mtCiE319OaM" TargetMode="External"/><Relationship Id="rId32" Type="http://schemas.openxmlformats.org/officeDocument/2006/relationships/hyperlink" Target="https://youtu.be/FvwIslDJbvE" TargetMode="External"/><Relationship Id="rId37" Type="http://schemas.openxmlformats.org/officeDocument/2006/relationships/hyperlink" Target="https://youtu.be/hW_ed341-jI" TargetMode="External"/><Relationship Id="rId53" Type="http://schemas.openxmlformats.org/officeDocument/2006/relationships/hyperlink" Target="https://youtu.be/dbrJi3jmrcw" TargetMode="External"/><Relationship Id="rId58" Type="http://schemas.openxmlformats.org/officeDocument/2006/relationships/hyperlink" Target="https://youtu.be/xxy6gYmpwlc" TargetMode="External"/><Relationship Id="rId74" Type="http://schemas.openxmlformats.org/officeDocument/2006/relationships/hyperlink" Target="https://youtu.be/zkTlZPHAg2c" TargetMode="External"/><Relationship Id="rId79" Type="http://schemas.openxmlformats.org/officeDocument/2006/relationships/hyperlink" Target="https://youtu.be/xyvA1s03rx0" TargetMode="External"/><Relationship Id="rId5" Type="http://schemas.openxmlformats.org/officeDocument/2006/relationships/hyperlink" Target="https://youtu.be/_AuQYkWu75w" TargetMode="External"/><Relationship Id="rId90" Type="http://schemas.openxmlformats.org/officeDocument/2006/relationships/hyperlink" Target="https://youtu.be/d9sgwksOGEs" TargetMode="External"/><Relationship Id="rId95" Type="http://schemas.openxmlformats.org/officeDocument/2006/relationships/printerSettings" Target="../printerSettings/printerSettings3.bin"/><Relationship Id="rId22" Type="http://schemas.openxmlformats.org/officeDocument/2006/relationships/hyperlink" Target="https://youtu.be/V0kuOwiwwIA" TargetMode="External"/><Relationship Id="rId27" Type="http://schemas.openxmlformats.org/officeDocument/2006/relationships/hyperlink" Target="https://youtu.be/d3oJ7x2BmWU" TargetMode="External"/><Relationship Id="rId43" Type="http://schemas.openxmlformats.org/officeDocument/2006/relationships/hyperlink" Target="https://youtu.be/8Kl98L2NU60" TargetMode="External"/><Relationship Id="rId48" Type="http://schemas.openxmlformats.org/officeDocument/2006/relationships/hyperlink" Target="https://youtu.be/IDsxNOzME3k" TargetMode="External"/><Relationship Id="rId64" Type="http://schemas.openxmlformats.org/officeDocument/2006/relationships/hyperlink" Target="https://youtu.be/tZmZ-zwqSbQ" TargetMode="External"/><Relationship Id="rId69" Type="http://schemas.openxmlformats.org/officeDocument/2006/relationships/hyperlink" Target="https://youtu.be/qIW77t1rcbQ" TargetMode="External"/><Relationship Id="rId8" Type="http://schemas.openxmlformats.org/officeDocument/2006/relationships/hyperlink" Target="https://youtu.be/0A5i5UKlxco" TargetMode="External"/><Relationship Id="rId51" Type="http://schemas.openxmlformats.org/officeDocument/2006/relationships/hyperlink" Target="https://youtu.be/GvBZPPiXWn4" TargetMode="External"/><Relationship Id="rId72" Type="http://schemas.openxmlformats.org/officeDocument/2006/relationships/hyperlink" Target="https://youtu.be/WrapRsLITq4" TargetMode="External"/><Relationship Id="rId80" Type="http://schemas.openxmlformats.org/officeDocument/2006/relationships/hyperlink" Target="https://youtu.be/zgT_nVzaviQ" TargetMode="External"/><Relationship Id="rId85" Type="http://schemas.openxmlformats.org/officeDocument/2006/relationships/hyperlink" Target="https://youtu.be/gSjQ3zf7d58" TargetMode="External"/><Relationship Id="rId93" Type="http://schemas.openxmlformats.org/officeDocument/2006/relationships/hyperlink" Target="https://youtu.be/YjFVulEGHgk" TargetMode="External"/><Relationship Id="rId3" Type="http://schemas.openxmlformats.org/officeDocument/2006/relationships/hyperlink" Target="https://youtu.be/relyOjp1W2A" TargetMode="External"/><Relationship Id="rId12" Type="http://schemas.openxmlformats.org/officeDocument/2006/relationships/hyperlink" Target="https://youtu.be/Ykw72gKkoFc" TargetMode="External"/><Relationship Id="rId17" Type="http://schemas.openxmlformats.org/officeDocument/2006/relationships/hyperlink" Target="https://youtu.be/L9SqjvYanwQ" TargetMode="External"/><Relationship Id="rId25" Type="http://schemas.openxmlformats.org/officeDocument/2006/relationships/hyperlink" Target="https://youtu.be/doSt0U1dex4" TargetMode="External"/><Relationship Id="rId33" Type="http://schemas.openxmlformats.org/officeDocument/2006/relationships/hyperlink" Target="https://youtu.be/l9zwNNLFEvk" TargetMode="External"/><Relationship Id="rId38" Type="http://schemas.openxmlformats.org/officeDocument/2006/relationships/hyperlink" Target="https://youtu.be/X9GG0BPdk9k" TargetMode="External"/><Relationship Id="rId46" Type="http://schemas.openxmlformats.org/officeDocument/2006/relationships/hyperlink" Target="https://youtu.be/3_OAoHAP9Q4" TargetMode="External"/><Relationship Id="rId59" Type="http://schemas.openxmlformats.org/officeDocument/2006/relationships/hyperlink" Target="https://youtu.be/2c7WTr3s8nM" TargetMode="External"/><Relationship Id="rId67" Type="http://schemas.openxmlformats.org/officeDocument/2006/relationships/hyperlink" Target="https://youtu.be/ZYtGh49LQOY" TargetMode="External"/><Relationship Id="rId20" Type="http://schemas.openxmlformats.org/officeDocument/2006/relationships/hyperlink" Target="https://youtu.be/NMPEJdPP-70" TargetMode="External"/><Relationship Id="rId41" Type="http://schemas.openxmlformats.org/officeDocument/2006/relationships/hyperlink" Target="https://youtu.be/AblnUH6wqbI" TargetMode="External"/><Relationship Id="rId54" Type="http://schemas.openxmlformats.org/officeDocument/2006/relationships/hyperlink" Target="https://youtu.be/jsyqE4cz5z4" TargetMode="External"/><Relationship Id="rId62" Type="http://schemas.openxmlformats.org/officeDocument/2006/relationships/hyperlink" Target="https://youtu.be/0OcRcSQ5FFA" TargetMode="External"/><Relationship Id="rId70" Type="http://schemas.openxmlformats.org/officeDocument/2006/relationships/hyperlink" Target="https://youtu.be/omvqzzOjFVw" TargetMode="External"/><Relationship Id="rId75" Type="http://schemas.openxmlformats.org/officeDocument/2006/relationships/hyperlink" Target="https://youtu.be/pFOAXv64toA" TargetMode="External"/><Relationship Id="rId83" Type="http://schemas.openxmlformats.org/officeDocument/2006/relationships/hyperlink" Target="https://youtu.be/qv0f1jkUT5s" TargetMode="External"/><Relationship Id="rId88" Type="http://schemas.openxmlformats.org/officeDocument/2006/relationships/hyperlink" Target="https://youtu.be/BhYE52UmydU" TargetMode="External"/><Relationship Id="rId91" Type="http://schemas.openxmlformats.org/officeDocument/2006/relationships/hyperlink" Target="https://youtu.be/Fn85vJXuoaI" TargetMode="External"/><Relationship Id="rId96" Type="http://schemas.openxmlformats.org/officeDocument/2006/relationships/table" Target="../tables/table5.xml"/><Relationship Id="rId1" Type="http://schemas.openxmlformats.org/officeDocument/2006/relationships/hyperlink" Target="https://youtu.be/UFKpxcL2YpU" TargetMode="External"/><Relationship Id="rId6" Type="http://schemas.openxmlformats.org/officeDocument/2006/relationships/hyperlink" Target="https://youtu.be/UFKpxcL2YpU" TargetMode="External"/><Relationship Id="rId15" Type="http://schemas.openxmlformats.org/officeDocument/2006/relationships/hyperlink" Target="https://youtu.be/Bah5323Hj9s" TargetMode="External"/><Relationship Id="rId23" Type="http://schemas.openxmlformats.org/officeDocument/2006/relationships/hyperlink" Target="https://youtu.be/TSbCRER1TFo" TargetMode="External"/><Relationship Id="rId28" Type="http://schemas.openxmlformats.org/officeDocument/2006/relationships/hyperlink" Target="https://youtu.be/wjWsr-WoEPk" TargetMode="External"/><Relationship Id="rId36" Type="http://schemas.openxmlformats.org/officeDocument/2006/relationships/hyperlink" Target="https://youtu.be/KPTs8HIc3jg" TargetMode="External"/><Relationship Id="rId49" Type="http://schemas.openxmlformats.org/officeDocument/2006/relationships/hyperlink" Target="https://youtu.be/jxTw5K91krM" TargetMode="External"/><Relationship Id="rId57" Type="http://schemas.openxmlformats.org/officeDocument/2006/relationships/hyperlink" Target="https://youtu.be/MTNKe6usrbU" TargetMode="External"/><Relationship Id="rId10" Type="http://schemas.openxmlformats.org/officeDocument/2006/relationships/hyperlink" Target="https://youtu.be/CQkLjyWh-IE" TargetMode="External"/><Relationship Id="rId31" Type="http://schemas.openxmlformats.org/officeDocument/2006/relationships/hyperlink" Target="https://youtu.be/ew7RtWMyDm0" TargetMode="External"/><Relationship Id="rId44" Type="http://schemas.openxmlformats.org/officeDocument/2006/relationships/hyperlink" Target="https://youtu.be/cih9_a-fV0E" TargetMode="External"/><Relationship Id="rId52" Type="http://schemas.openxmlformats.org/officeDocument/2006/relationships/hyperlink" Target="https://youtu.be/Fl8P4oAkhhQ" TargetMode="External"/><Relationship Id="rId60" Type="http://schemas.openxmlformats.org/officeDocument/2006/relationships/hyperlink" Target="https://youtu.be/1SGP8FaKuZU" TargetMode="External"/><Relationship Id="rId65" Type="http://schemas.openxmlformats.org/officeDocument/2006/relationships/hyperlink" Target="https://youtu.be/r1dgbYRNJfc" TargetMode="External"/><Relationship Id="rId73" Type="http://schemas.openxmlformats.org/officeDocument/2006/relationships/hyperlink" Target="https://youtu.be/vrFpfRXOrms" TargetMode="External"/><Relationship Id="rId78" Type="http://schemas.openxmlformats.org/officeDocument/2006/relationships/hyperlink" Target="https://youtu.be/IS8qqhwrl7U" TargetMode="External"/><Relationship Id="rId81" Type="http://schemas.openxmlformats.org/officeDocument/2006/relationships/hyperlink" Target="https://youtu.be/XUXWqune1XY" TargetMode="External"/><Relationship Id="rId86" Type="http://schemas.openxmlformats.org/officeDocument/2006/relationships/hyperlink" Target="https://youtu.be/RYFH6Dp2yoI" TargetMode="External"/><Relationship Id="rId94" Type="http://schemas.openxmlformats.org/officeDocument/2006/relationships/hyperlink" Target="https://youtu.be/yEZ40oH1XZU" TargetMode="External"/><Relationship Id="rId4" Type="http://schemas.openxmlformats.org/officeDocument/2006/relationships/hyperlink" Target="https://youtu.be/58kDDht2k5k" TargetMode="External"/><Relationship Id="rId9" Type="http://schemas.openxmlformats.org/officeDocument/2006/relationships/hyperlink" Target="https://youtu.be/uE21o17GGEA" TargetMode="External"/><Relationship Id="rId13" Type="http://schemas.openxmlformats.org/officeDocument/2006/relationships/hyperlink" Target="https://youtu.be/lHHOtaa6SDU" TargetMode="External"/><Relationship Id="rId18" Type="http://schemas.openxmlformats.org/officeDocument/2006/relationships/hyperlink" Target="https://youtu.be/VpAswj1xCLs" TargetMode="External"/><Relationship Id="rId39" Type="http://schemas.openxmlformats.org/officeDocument/2006/relationships/hyperlink" Target="https://youtu.be/Jrtk5jYGDkI" TargetMode="External"/><Relationship Id="rId34" Type="http://schemas.openxmlformats.org/officeDocument/2006/relationships/hyperlink" Target="https://youtu.be/zPJ5SguZpbU" TargetMode="External"/><Relationship Id="rId50" Type="http://schemas.openxmlformats.org/officeDocument/2006/relationships/hyperlink" Target="https://youtu.be/L83wEInYQY8" TargetMode="External"/><Relationship Id="rId55" Type="http://schemas.openxmlformats.org/officeDocument/2006/relationships/hyperlink" Target="https://youtu.be/eOUiFfFSYYU" TargetMode="External"/><Relationship Id="rId76" Type="http://schemas.openxmlformats.org/officeDocument/2006/relationships/hyperlink" Target="https://youtu.be/Dqzqa0tl1fQ" TargetMode="External"/><Relationship Id="rId7" Type="http://schemas.openxmlformats.org/officeDocument/2006/relationships/hyperlink" Target="https://youtu.be/WNZW0fqHhYQ" TargetMode="External"/><Relationship Id="rId71" Type="http://schemas.openxmlformats.org/officeDocument/2006/relationships/hyperlink" Target="https://youtu.be/Qg4JvDC60tI" TargetMode="External"/><Relationship Id="rId92" Type="http://schemas.openxmlformats.org/officeDocument/2006/relationships/hyperlink" Target="https://youtu.be/Tyn961zzOX8" TargetMode="External"/><Relationship Id="rId2" Type="http://schemas.openxmlformats.org/officeDocument/2006/relationships/hyperlink" Target="https://youtu.be/gm-rKaip0rQ" TargetMode="External"/><Relationship Id="rId29" Type="http://schemas.openxmlformats.org/officeDocument/2006/relationships/hyperlink" Target="https://youtu.be/XOTEj4RGPpA" TargetMode="External"/><Relationship Id="rId24" Type="http://schemas.openxmlformats.org/officeDocument/2006/relationships/hyperlink" Target="https://youtu.be/o8UkW2INyDs" TargetMode="External"/><Relationship Id="rId40" Type="http://schemas.openxmlformats.org/officeDocument/2006/relationships/hyperlink" Target="https://youtu.be/bHPYICXl6HI" TargetMode="External"/><Relationship Id="rId45" Type="http://schemas.openxmlformats.org/officeDocument/2006/relationships/hyperlink" Target="https://youtu.be/sZvDegJ0cek" TargetMode="External"/><Relationship Id="rId66" Type="http://schemas.openxmlformats.org/officeDocument/2006/relationships/hyperlink" Target="https://youtu.be/_mXFzJK9NDY" TargetMode="External"/><Relationship Id="rId87" Type="http://schemas.openxmlformats.org/officeDocument/2006/relationships/hyperlink" Target="https://youtu.be/pgDNLR9J7qE" TargetMode="External"/><Relationship Id="rId61" Type="http://schemas.openxmlformats.org/officeDocument/2006/relationships/hyperlink" Target="https://youtu.be/tkcm7SqaSMA" TargetMode="External"/><Relationship Id="rId82" Type="http://schemas.openxmlformats.org/officeDocument/2006/relationships/hyperlink" Target="https://youtu.be/EyJsMX3Zew8" TargetMode="External"/><Relationship Id="rId19" Type="http://schemas.openxmlformats.org/officeDocument/2006/relationships/hyperlink" Target="https://youtu.be/yJ1ZRh1AzQ4" TargetMode="External"/><Relationship Id="rId14" Type="http://schemas.openxmlformats.org/officeDocument/2006/relationships/hyperlink" Target="https://youtu.be/H9NxAy5ENBc" TargetMode="External"/><Relationship Id="rId30" Type="http://schemas.openxmlformats.org/officeDocument/2006/relationships/hyperlink" Target="https://youtu.be/wQO8OZySsTY" TargetMode="External"/><Relationship Id="rId35" Type="http://schemas.openxmlformats.org/officeDocument/2006/relationships/hyperlink" Target="https://youtu.be/A6_oofMOZ6I" TargetMode="External"/><Relationship Id="rId56" Type="http://schemas.openxmlformats.org/officeDocument/2006/relationships/hyperlink" Target="https://youtu.be/nfwkO1ANynA" TargetMode="External"/><Relationship Id="rId77" Type="http://schemas.openxmlformats.org/officeDocument/2006/relationships/hyperlink" Target="https://youtu.be/FBdL2B4qaN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5736-F1DA-47D4-8FC1-38A0EE3CC250}">
  <dimension ref="A1:J33"/>
  <sheetViews>
    <sheetView workbookViewId="0">
      <pane ySplit="1" topLeftCell="A2" activePane="bottomLeft" state="frozen"/>
      <selection pane="bottomLeft" activeCell="E4" sqref="E4"/>
    </sheetView>
  </sheetViews>
  <sheetFormatPr defaultRowHeight="24.95" customHeight="1"/>
  <cols>
    <col min="1" max="1" width="18.5" style="1" customWidth="1"/>
    <col min="2" max="2" width="15.75" customWidth="1"/>
    <col min="3" max="3" width="14.5" customWidth="1"/>
    <col min="4" max="4" width="14.375" customWidth="1"/>
    <col min="5" max="5" width="15.375" customWidth="1"/>
    <col min="6" max="6" width="14.625" customWidth="1"/>
    <col min="7" max="7" width="16.375" customWidth="1"/>
    <col min="8" max="8" width="14.5" customWidth="1"/>
    <col min="9" max="9" width="13.625" customWidth="1"/>
    <col min="10" max="10" width="14.25" customWidth="1"/>
  </cols>
  <sheetData>
    <row r="1" spans="1:10" ht="24.95" customHeight="1">
      <c r="A1" s="44" t="s">
        <v>59</v>
      </c>
      <c r="B1" s="42" t="s">
        <v>0</v>
      </c>
      <c r="C1" s="42" t="s">
        <v>1</v>
      </c>
      <c r="D1" s="42" t="s">
        <v>2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3" t="s">
        <v>16</v>
      </c>
    </row>
    <row r="2" spans="1:10" ht="24.95" customHeight="1">
      <c r="A2" s="25" t="s">
        <v>8</v>
      </c>
      <c r="B2" s="19"/>
      <c r="C2" s="21" t="s">
        <v>17</v>
      </c>
      <c r="D2" s="19"/>
      <c r="E2" s="27"/>
      <c r="F2" s="19"/>
      <c r="G2" s="21" t="s">
        <v>18</v>
      </c>
      <c r="H2" s="21" t="s">
        <v>17</v>
      </c>
      <c r="I2" s="21" t="s">
        <v>18</v>
      </c>
      <c r="J2" s="28"/>
    </row>
    <row r="3" spans="1:10" ht="24.95" customHeight="1">
      <c r="A3" s="25"/>
      <c r="B3" s="19"/>
      <c r="C3" s="21" t="s">
        <v>19</v>
      </c>
      <c r="D3" s="19"/>
      <c r="E3" s="29"/>
      <c r="F3" s="19"/>
      <c r="G3" s="21"/>
      <c r="H3" s="21" t="s">
        <v>19</v>
      </c>
      <c r="I3" s="19"/>
      <c r="J3" s="28"/>
    </row>
    <row r="4" spans="1:10" ht="24.95" customHeight="1">
      <c r="A4" s="25"/>
      <c r="B4" s="19"/>
      <c r="C4" s="21" t="s">
        <v>20</v>
      </c>
      <c r="D4" s="19"/>
      <c r="E4" s="30"/>
      <c r="F4" s="19"/>
      <c r="G4" s="21"/>
      <c r="H4" s="19"/>
      <c r="I4" s="19"/>
      <c r="J4" s="28"/>
    </row>
    <row r="5" spans="1:10" ht="24.95" customHeight="1">
      <c r="A5" s="25" t="s">
        <v>9</v>
      </c>
      <c r="B5" s="21" t="s">
        <v>18</v>
      </c>
      <c r="C5" s="21" t="s">
        <v>18</v>
      </c>
      <c r="D5" s="19"/>
      <c r="E5" s="19"/>
      <c r="F5" s="19"/>
      <c r="G5" s="21" t="s">
        <v>18</v>
      </c>
      <c r="H5" s="21" t="s">
        <v>18</v>
      </c>
      <c r="I5" s="21" t="s">
        <v>18</v>
      </c>
      <c r="J5" s="31" t="s">
        <v>18</v>
      </c>
    </row>
    <row r="6" spans="1:10" ht="24.95" customHeight="1">
      <c r="A6" s="23" t="s">
        <v>10</v>
      </c>
      <c r="B6" s="19"/>
      <c r="C6" s="21" t="s">
        <v>18</v>
      </c>
      <c r="D6" s="19"/>
      <c r="E6" s="19"/>
      <c r="F6" s="21" t="s">
        <v>17</v>
      </c>
      <c r="G6" s="21" t="s">
        <v>18</v>
      </c>
      <c r="H6" s="21" t="s">
        <v>17</v>
      </c>
      <c r="I6" s="21" t="s">
        <v>18</v>
      </c>
      <c r="J6" s="31"/>
    </row>
    <row r="7" spans="1:10" ht="24.95" customHeight="1">
      <c r="A7" s="24"/>
      <c r="B7" s="19"/>
      <c r="C7" s="19"/>
      <c r="D7" s="19"/>
      <c r="E7" s="19"/>
      <c r="F7" s="21" t="s">
        <v>19</v>
      </c>
      <c r="G7" s="21"/>
      <c r="H7" s="21" t="s">
        <v>19</v>
      </c>
      <c r="I7" s="19"/>
      <c r="J7" s="28"/>
    </row>
    <row r="8" spans="1:10" ht="24.95" customHeight="1">
      <c r="A8" s="17" t="s">
        <v>11</v>
      </c>
      <c r="B8" s="21" t="s">
        <v>18</v>
      </c>
      <c r="C8" s="32"/>
      <c r="D8" s="21" t="s">
        <v>17</v>
      </c>
      <c r="E8" s="21" t="s">
        <v>18</v>
      </c>
      <c r="F8" s="19"/>
      <c r="G8" s="19"/>
      <c r="H8" s="21" t="s">
        <v>18</v>
      </c>
      <c r="I8" s="21" t="s">
        <v>18</v>
      </c>
      <c r="J8" s="31" t="s">
        <v>18</v>
      </c>
    </row>
    <row r="9" spans="1:10" ht="24.95" customHeight="1">
      <c r="A9" s="20"/>
      <c r="B9" s="21"/>
      <c r="C9" s="33"/>
      <c r="D9" s="21" t="s">
        <v>19</v>
      </c>
      <c r="E9" s="21"/>
      <c r="F9" s="19"/>
      <c r="G9" s="19"/>
      <c r="H9" s="21"/>
      <c r="I9" s="21"/>
      <c r="J9" s="28"/>
    </row>
    <row r="10" spans="1:10" ht="24.95" customHeight="1">
      <c r="A10" s="23" t="s">
        <v>12</v>
      </c>
      <c r="B10" s="21" t="s">
        <v>18</v>
      </c>
      <c r="C10" s="21" t="s">
        <v>18</v>
      </c>
      <c r="D10" s="19"/>
      <c r="E10" s="19" t="s">
        <v>17</v>
      </c>
      <c r="F10" s="19"/>
      <c r="G10" s="19"/>
      <c r="H10" s="21" t="s">
        <v>17</v>
      </c>
      <c r="I10" s="21" t="s">
        <v>18</v>
      </c>
      <c r="J10" s="31" t="s">
        <v>18</v>
      </c>
    </row>
    <row r="11" spans="1:10" ht="24.95" customHeight="1">
      <c r="A11" s="24"/>
      <c r="B11" s="19"/>
      <c r="C11" s="19"/>
      <c r="D11" s="19"/>
      <c r="E11" s="21" t="s">
        <v>19</v>
      </c>
      <c r="F11" s="19"/>
      <c r="G11" s="19"/>
      <c r="H11" s="21" t="s">
        <v>19</v>
      </c>
      <c r="I11" s="19"/>
      <c r="J11" s="28"/>
    </row>
    <row r="12" spans="1:10" ht="24.95" customHeight="1">
      <c r="A12" s="23" t="s">
        <v>13</v>
      </c>
      <c r="B12" s="21" t="s">
        <v>17</v>
      </c>
      <c r="C12" s="21" t="s">
        <v>17</v>
      </c>
      <c r="D12" s="21" t="s">
        <v>17</v>
      </c>
      <c r="E12" s="19"/>
      <c r="F12" s="19"/>
      <c r="G12" s="34"/>
      <c r="H12" s="21" t="s">
        <v>17</v>
      </c>
      <c r="I12" s="21" t="s">
        <v>17</v>
      </c>
      <c r="J12" s="31" t="s">
        <v>18</v>
      </c>
    </row>
    <row r="13" spans="1:10" ht="24.95" customHeight="1">
      <c r="A13" s="24"/>
      <c r="B13" s="21" t="s">
        <v>19</v>
      </c>
      <c r="C13" s="21" t="s">
        <v>19</v>
      </c>
      <c r="D13" s="21" t="s">
        <v>19</v>
      </c>
      <c r="E13" s="19"/>
      <c r="F13" s="19"/>
      <c r="G13" s="35"/>
      <c r="H13" s="21" t="s">
        <v>19</v>
      </c>
      <c r="I13" s="21" t="s">
        <v>19</v>
      </c>
      <c r="J13" s="28"/>
    </row>
    <row r="14" spans="1:10" ht="24.95" customHeight="1">
      <c r="A14" s="17" t="s">
        <v>14</v>
      </c>
      <c r="B14" s="21" t="s">
        <v>18</v>
      </c>
      <c r="C14" s="21" t="s">
        <v>17</v>
      </c>
      <c r="D14" s="21" t="s">
        <v>17</v>
      </c>
      <c r="E14" s="34"/>
      <c r="F14" s="19"/>
      <c r="G14" s="21" t="s">
        <v>18</v>
      </c>
      <c r="H14" s="21" t="s">
        <v>17</v>
      </c>
      <c r="I14" s="21" t="s">
        <v>18</v>
      </c>
      <c r="J14" s="28"/>
    </row>
    <row r="15" spans="1:10" ht="24.95" customHeight="1">
      <c r="A15" s="20"/>
      <c r="C15" s="21" t="s">
        <v>19</v>
      </c>
      <c r="D15" s="21" t="s">
        <v>19</v>
      </c>
      <c r="E15" s="35"/>
      <c r="F15" s="19"/>
      <c r="G15" s="19"/>
      <c r="H15" s="21" t="s">
        <v>19</v>
      </c>
      <c r="I15" s="19"/>
      <c r="J15" s="28"/>
    </row>
    <row r="16" spans="1:10" ht="24.95" customHeight="1">
      <c r="A16" s="17" t="s">
        <v>15</v>
      </c>
      <c r="B16" s="21" t="s">
        <v>17</v>
      </c>
      <c r="C16" s="34"/>
      <c r="D16" s="21" t="s">
        <v>17</v>
      </c>
      <c r="E16" s="34"/>
      <c r="F16" s="19"/>
      <c r="G16" s="21" t="s">
        <v>17</v>
      </c>
      <c r="H16" s="21" t="s">
        <v>17</v>
      </c>
      <c r="I16" s="21" t="s">
        <v>18</v>
      </c>
      <c r="J16" s="28"/>
    </row>
    <row r="17" spans="1:10" ht="24.95" customHeight="1">
      <c r="A17" s="36"/>
      <c r="B17" s="21" t="s">
        <v>19</v>
      </c>
      <c r="C17" s="37"/>
      <c r="D17" s="21" t="s">
        <v>19</v>
      </c>
      <c r="E17" s="37"/>
      <c r="F17" s="19"/>
      <c r="G17" s="21" t="s">
        <v>19</v>
      </c>
      <c r="H17" s="21" t="s">
        <v>19</v>
      </c>
      <c r="I17" s="19"/>
      <c r="J17" s="28"/>
    </row>
    <row r="18" spans="1:10" ht="24.95" customHeight="1">
      <c r="A18" s="20"/>
      <c r="B18" s="21" t="s">
        <v>20</v>
      </c>
      <c r="C18" s="35"/>
      <c r="D18" s="19"/>
      <c r="E18" s="35"/>
      <c r="F18" s="19"/>
      <c r="G18" s="19"/>
      <c r="H18" s="19"/>
      <c r="I18" s="19"/>
      <c r="J18" s="28"/>
    </row>
    <row r="19" spans="1:10" ht="24.95" customHeight="1">
      <c r="A19" s="23" t="s">
        <v>21</v>
      </c>
      <c r="B19" s="21" t="s">
        <v>17</v>
      </c>
      <c r="C19" s="21" t="s">
        <v>17</v>
      </c>
      <c r="D19" s="21" t="s">
        <v>17</v>
      </c>
      <c r="E19" s="21" t="s">
        <v>18</v>
      </c>
      <c r="F19" s="19"/>
      <c r="G19" s="19"/>
      <c r="H19" s="21" t="s">
        <v>17</v>
      </c>
      <c r="I19" s="21" t="s">
        <v>18</v>
      </c>
      <c r="J19" s="28"/>
    </row>
    <row r="20" spans="1:10" ht="24.95" customHeight="1">
      <c r="A20" s="38"/>
      <c r="B20" s="21" t="s">
        <v>19</v>
      </c>
      <c r="C20" s="21" t="s">
        <v>19</v>
      </c>
      <c r="D20" s="21" t="s">
        <v>19</v>
      </c>
      <c r="E20" s="19"/>
      <c r="F20" s="19"/>
      <c r="G20" s="19"/>
      <c r="H20" s="21" t="s">
        <v>19</v>
      </c>
      <c r="I20" s="19"/>
      <c r="J20" s="28"/>
    </row>
    <row r="21" spans="1:10" ht="24.95" customHeight="1">
      <c r="A21" s="24"/>
      <c r="B21" s="21" t="s">
        <v>20</v>
      </c>
      <c r="C21" s="19"/>
      <c r="D21" s="19"/>
      <c r="E21" s="19"/>
      <c r="F21" s="19"/>
      <c r="G21" s="19"/>
      <c r="H21" s="19"/>
      <c r="I21" s="19"/>
      <c r="J21" s="28"/>
    </row>
    <row r="22" spans="1:10" ht="30.75" customHeight="1">
      <c r="A22" s="25" t="s">
        <v>22</v>
      </c>
      <c r="B22" s="21" t="s">
        <v>18</v>
      </c>
      <c r="C22" s="21" t="s">
        <v>17</v>
      </c>
      <c r="D22" s="21" t="s">
        <v>17</v>
      </c>
      <c r="E22" s="21" t="s">
        <v>18</v>
      </c>
      <c r="F22" s="19"/>
      <c r="G22" s="21" t="s">
        <v>18</v>
      </c>
      <c r="H22" s="21" t="s">
        <v>17</v>
      </c>
      <c r="I22" s="21" t="s">
        <v>18</v>
      </c>
      <c r="J22" s="31" t="s">
        <v>18</v>
      </c>
    </row>
    <row r="23" spans="1:10" ht="30.75" customHeight="1">
      <c r="A23" s="25"/>
      <c r="B23" s="21"/>
      <c r="C23" s="21" t="s">
        <v>19</v>
      </c>
      <c r="D23" s="21" t="s">
        <v>19</v>
      </c>
      <c r="E23" s="19"/>
      <c r="F23" s="19"/>
      <c r="G23" s="21"/>
      <c r="H23" s="21" t="s">
        <v>19</v>
      </c>
      <c r="I23" s="19"/>
      <c r="J23" s="31"/>
    </row>
    <row r="24" spans="1:10" ht="30.75" customHeight="1">
      <c r="A24" s="23" t="s">
        <v>23</v>
      </c>
      <c r="B24" s="19"/>
      <c r="C24" s="19"/>
      <c r="D24" s="19"/>
      <c r="E24" s="19"/>
      <c r="F24" s="19"/>
      <c r="G24" s="21" t="s">
        <v>18</v>
      </c>
      <c r="H24" s="19" t="s">
        <v>17</v>
      </c>
      <c r="I24" s="19"/>
      <c r="J24" s="28"/>
    </row>
    <row r="25" spans="1:10" ht="30.75" customHeight="1">
      <c r="A25" s="24"/>
      <c r="B25" s="19"/>
      <c r="C25" s="19"/>
      <c r="D25" s="19"/>
      <c r="E25" s="19"/>
      <c r="F25" s="19"/>
      <c r="G25" s="21"/>
      <c r="H25" s="21" t="s">
        <v>19</v>
      </c>
      <c r="I25" s="19"/>
      <c r="J25" s="28"/>
    </row>
    <row r="26" spans="1:10" ht="30.75" customHeight="1">
      <c r="A26" s="25" t="s">
        <v>24</v>
      </c>
      <c r="B26" s="39" t="s">
        <v>37</v>
      </c>
      <c r="C26" s="40"/>
      <c r="D26" s="40"/>
      <c r="E26" s="40"/>
      <c r="F26" s="40"/>
      <c r="G26" s="40"/>
      <c r="H26" s="40"/>
      <c r="I26" s="40"/>
      <c r="J26" s="40"/>
    </row>
    <row r="27" spans="1:10" ht="30.75" customHeight="1">
      <c r="A27" s="23" t="s">
        <v>25</v>
      </c>
      <c r="B27" s="21" t="s">
        <v>18</v>
      </c>
      <c r="C27" s="21" t="s">
        <v>18</v>
      </c>
      <c r="D27" s="21" t="s">
        <v>17</v>
      </c>
      <c r="E27" s="21" t="s">
        <v>18</v>
      </c>
      <c r="F27" s="19"/>
      <c r="G27" s="19"/>
      <c r="H27" s="21" t="s">
        <v>18</v>
      </c>
      <c r="I27" s="19"/>
      <c r="J27" s="28"/>
    </row>
    <row r="28" spans="1:10" ht="30.75" customHeight="1">
      <c r="A28" s="24"/>
      <c r="B28" s="21"/>
      <c r="C28" s="21"/>
      <c r="D28" s="21" t="s">
        <v>19</v>
      </c>
      <c r="E28" s="19"/>
      <c r="F28" s="19"/>
      <c r="G28" s="19"/>
      <c r="H28" s="19"/>
      <c r="I28" s="19"/>
      <c r="J28" s="28"/>
    </row>
    <row r="29" spans="1:10" ht="30.75" customHeight="1">
      <c r="A29" s="25" t="s">
        <v>26</v>
      </c>
      <c r="B29" s="39" t="s">
        <v>38</v>
      </c>
      <c r="C29" s="40"/>
      <c r="D29" s="40"/>
      <c r="E29" s="41"/>
      <c r="F29" s="19"/>
      <c r="G29" s="21" t="s">
        <v>18</v>
      </c>
      <c r="H29" s="19"/>
      <c r="I29" s="19"/>
      <c r="J29" s="28"/>
    </row>
    <row r="30" spans="1:10" ht="30.75" customHeight="1">
      <c r="A30" s="25" t="s">
        <v>27</v>
      </c>
      <c r="B30" s="19"/>
      <c r="C30" s="19"/>
      <c r="D30" s="19"/>
      <c r="E30" s="19"/>
      <c r="F30" s="19"/>
      <c r="G30" s="21" t="s">
        <v>18</v>
      </c>
      <c r="H30" s="19"/>
      <c r="I30" s="19" t="s">
        <v>40</v>
      </c>
      <c r="J30" s="28"/>
    </row>
    <row r="31" spans="1:10" ht="30.75" customHeight="1">
      <c r="A31" s="23" t="s">
        <v>28</v>
      </c>
      <c r="B31" s="16"/>
      <c r="C31" s="16"/>
      <c r="D31" s="16"/>
      <c r="E31" s="16"/>
      <c r="F31" s="16"/>
      <c r="G31" s="16"/>
      <c r="H31" s="16"/>
      <c r="I31" s="16" t="s">
        <v>40</v>
      </c>
      <c r="J31" s="13"/>
    </row>
    <row r="33" spans="2:6" ht="24.95" customHeight="1">
      <c r="B33" s="5"/>
      <c r="C33" s="6" t="s">
        <v>39</v>
      </c>
      <c r="D33" s="6"/>
      <c r="E33" s="6"/>
      <c r="F33" s="6"/>
    </row>
  </sheetData>
  <phoneticPr fontId="12" type="noConversion"/>
  <hyperlinks>
    <hyperlink ref="G2" r:id="rId1" display="GO" xr:uid="{9A529DDF-1349-4204-9980-0362094C343A}"/>
    <hyperlink ref="C2" r:id="rId2" display="Part1" xr:uid="{1EB8B186-2952-4841-AC1B-82F67FA84626}"/>
    <hyperlink ref="C3" r:id="rId3" display="Part2" xr:uid="{E4FC7643-5E2C-42AE-A6BF-DEDEDC969EB2}"/>
    <hyperlink ref="C4" r:id="rId4" display="Part3" xr:uid="{2FDA193D-739A-4AD2-9C96-A2AD561F2A77}"/>
    <hyperlink ref="I2" r:id="rId5" display="GO" xr:uid="{C3B423D0-0B60-4647-BBFA-5D9A6DDF5F5F}"/>
    <hyperlink ref="H2" r:id="rId6" display="Part1" xr:uid="{35EAE0E4-3EA7-48AA-BC5E-DED327B3F47C}"/>
    <hyperlink ref="H3" r:id="rId7" display="Part2" xr:uid="{0D7F569B-7FAE-49C3-B1CB-6BF37D2EB579}"/>
    <hyperlink ref="G5" r:id="rId8" display="GO" xr:uid="{BB8345CD-C25A-4D9D-93AF-282E0DD35B87}"/>
    <hyperlink ref="B5" r:id="rId9" display="GO" xr:uid="{DC72F39E-6016-458B-BB92-D9FD0054D515}"/>
    <hyperlink ref="C5" r:id="rId10" display="GO" xr:uid="{6EA8E7AF-09C5-45A6-831D-1DD7F59C8806}"/>
    <hyperlink ref="I5" r:id="rId11" display="GO" xr:uid="{B54D6D07-4060-4D8C-86D9-57DFD8E27ED6}"/>
    <hyperlink ref="H5" r:id="rId12" display="GO" xr:uid="{68105C1B-64A3-4615-9483-04FEB981F843}"/>
    <hyperlink ref="G6" r:id="rId13" display="GO" xr:uid="{6B10FE90-73B8-416C-A58C-8BBA8883D57B}"/>
    <hyperlink ref="F6" r:id="rId14" display="Part1" xr:uid="{B8124C5C-7C9C-48CD-89A1-35F55429CF22}"/>
    <hyperlink ref="F7" r:id="rId15" display="Part2" xr:uid="{107664F3-6E1D-472D-A8B4-59D0DF213750}"/>
    <hyperlink ref="I6" r:id="rId16" display="GO" xr:uid="{CD83FBD3-4BC4-45D3-90CA-311441B1B9CD}"/>
    <hyperlink ref="H6" r:id="rId17" xr:uid="{77E233AE-0DBA-4381-90F5-90DA38B1EE02}"/>
    <hyperlink ref="H8" r:id="rId18" display="GO" xr:uid="{22F00956-3CE8-4D71-9440-92FB98182191}"/>
    <hyperlink ref="E8" r:id="rId19" display="GO" xr:uid="{B6ABA9B2-30A6-426B-89DA-54205619551F}"/>
    <hyperlink ref="I8" r:id="rId20" display="GO" xr:uid="{39B895D9-66CF-4E60-932F-C76E214E016D}"/>
    <hyperlink ref="B8" r:id="rId21" display="GO" xr:uid="{448E3ED9-FC04-46F0-9A92-65757C8AA079}"/>
    <hyperlink ref="H10" r:id="rId22" display="Part1" xr:uid="{46EE8591-4734-4398-87F0-6B7ED0D08DA7}"/>
    <hyperlink ref="H11" r:id="rId23" display="Part2" xr:uid="{90C982CA-E793-40C6-9667-73365D933BCB}"/>
    <hyperlink ref="C10" r:id="rId24" display="GO" xr:uid="{95587EE0-E92E-4441-AF16-F15B6A2BC763}"/>
    <hyperlink ref="B10" r:id="rId25" display="GO" xr:uid="{B3329B4E-C31A-4593-9713-D4C87A548AF7}"/>
    <hyperlink ref="I10" r:id="rId26" display="GO" xr:uid="{FDC98E4A-632E-41DC-B29E-E66DDDA04B83}"/>
    <hyperlink ref="D12" r:id="rId27" display="Part1" xr:uid="{B0E251CF-776F-4860-81AF-23271162B5E0}"/>
    <hyperlink ref="D13" r:id="rId28" display="Part2" xr:uid="{9302A409-9973-4F80-881E-E608F72088D5}"/>
    <hyperlink ref="B12" r:id="rId29" display="Part1" xr:uid="{EA6C45CB-1A10-4E55-A2B1-32C3F362574D}"/>
    <hyperlink ref="B13" r:id="rId30" display="Part2" xr:uid="{C6EB49D2-B63D-457F-9E33-5A139ED026B3}"/>
    <hyperlink ref="C12" r:id="rId31" display="Part1" xr:uid="{51FE4318-65C1-4CA4-81F7-8A4D0C8B43E6}"/>
    <hyperlink ref="C13" r:id="rId32" display="Part2" xr:uid="{149679FE-5C80-4B98-BDC8-E895C29FFCE4}"/>
    <hyperlink ref="H12" r:id="rId33" display="Part1" xr:uid="{00081492-5844-4B94-B4B2-B6BAF9C934A3}"/>
    <hyperlink ref="H13" r:id="rId34" display="Part2" xr:uid="{477EDCE9-4FEA-40B0-9DD6-9D4322CB2625}"/>
    <hyperlink ref="I12" r:id="rId35" display="Part1" xr:uid="{AB97E391-6CDC-4D01-A7C1-B95C0717CF16}"/>
    <hyperlink ref="I13" r:id="rId36" display="Part2" xr:uid="{95848275-2D79-4F4D-BDBF-FEB28953F8D2}"/>
    <hyperlink ref="D14" r:id="rId37" xr:uid="{CF3177AE-6322-4665-A371-D46D3CE67DD2}"/>
    <hyperlink ref="D15" r:id="rId38" xr:uid="{3020BF02-718B-42C6-9697-2617A658BFE7}"/>
    <hyperlink ref="B14" r:id="rId39" xr:uid="{4A9E3AEC-088B-474D-8D7B-919A6C52C1AA}"/>
    <hyperlink ref="J5" r:id="rId40" display="GO" xr:uid="{0E44B133-E81E-4720-A2A8-EBF25A689FA6}"/>
    <hyperlink ref="C14" r:id="rId41" xr:uid="{D75572EF-5514-4EE8-B665-223881464EE0}"/>
    <hyperlink ref="C15" r:id="rId42" xr:uid="{92F0C616-F1C5-41DB-9931-D32A1DA82325}"/>
    <hyperlink ref="I14" r:id="rId43" xr:uid="{D67BE9C1-1C4A-4479-AE73-40619FF2BC70}"/>
    <hyperlink ref="H14" r:id="rId44" xr:uid="{11B3F251-708C-4FEA-87E7-F79ABF0CAF3A}"/>
    <hyperlink ref="H15" r:id="rId45" xr:uid="{D3C36846-F453-4F84-B5F3-8FE4E47E7479}"/>
    <hyperlink ref="D8" r:id="rId46" xr:uid="{33C678A6-60DF-466F-8F91-347D946217C4}"/>
    <hyperlink ref="H7" r:id="rId47" xr:uid="{FCE31B86-B8B2-4E4E-8AE0-44D761EF755D}"/>
    <hyperlink ref="D9" r:id="rId48" xr:uid="{24D157A0-9A1B-4B95-9AA4-486C13E32701}"/>
    <hyperlink ref="G14" r:id="rId49" xr:uid="{8D37B890-AE56-4219-AD06-83B636DAD307}"/>
    <hyperlink ref="B16" r:id="rId50" xr:uid="{82215C5B-9AE2-4970-AF85-8115995C120D}"/>
    <hyperlink ref="B17" r:id="rId51" xr:uid="{4E88E52A-7C56-4816-8668-0A5BDD57C20C}"/>
    <hyperlink ref="B18" r:id="rId52" xr:uid="{8CEAF833-84A4-4B04-B2B6-DA3B1FDA1F6A}"/>
    <hyperlink ref="D16" r:id="rId53" xr:uid="{94E911A3-73A2-4CFA-B7E0-B89276BD3833}"/>
    <hyperlink ref="D17" r:id="rId54" xr:uid="{611AD870-F2C1-4C4E-AA8A-A8254921DB25}"/>
    <hyperlink ref="I16" r:id="rId55" xr:uid="{6DE0D61A-D001-43DA-9357-BC93D1381560}"/>
    <hyperlink ref="H16" r:id="rId56" xr:uid="{0BF4136F-CE39-4241-A629-90B84483EB0D}"/>
    <hyperlink ref="H17" r:id="rId57" xr:uid="{07CCCF2C-1561-4C75-8D76-B142B201BA1A}"/>
    <hyperlink ref="G16" r:id="rId58" xr:uid="{A3F1585B-62EA-414E-B4DA-1AE4972FD91F}"/>
    <hyperlink ref="G17" r:id="rId59" xr:uid="{64EA4CAC-2778-4C06-B66E-75BE468F0C81}"/>
    <hyperlink ref="B19" r:id="rId60" xr:uid="{5321AD8D-E929-47EE-9EB5-87777D185004}"/>
    <hyperlink ref="B20" r:id="rId61" xr:uid="{32DD2C95-4F5F-4DBA-AB57-796883F064B0}"/>
    <hyperlink ref="B21" r:id="rId62" xr:uid="{5B90A3B2-DB30-4D4E-92B6-713545E6C271}"/>
    <hyperlink ref="E19" r:id="rId63" xr:uid="{5DCD3F5D-730C-4C2A-96E6-E747CAD33647}"/>
    <hyperlink ref="D19" r:id="rId64" xr:uid="{EB2A0DC7-C5D8-4D46-A54E-24725F02DC05}"/>
    <hyperlink ref="D20" r:id="rId65" xr:uid="{07E616B6-AB39-49EE-A7C3-669FB628F45F}"/>
    <hyperlink ref="C19" r:id="rId66" xr:uid="{FACC0369-EE80-4B04-9BDE-B4EFFEAA2350}"/>
    <hyperlink ref="C20" r:id="rId67" xr:uid="{5F333B74-A870-4D48-9535-84DA65A07F93}"/>
    <hyperlink ref="I19" r:id="rId68" xr:uid="{B03B1D62-59D3-4969-9FDD-AEB0A04CB762}"/>
    <hyperlink ref="H19" r:id="rId69" xr:uid="{D7CF41C0-D373-4258-89BE-E9A5A3BC4A4D}"/>
    <hyperlink ref="H20" r:id="rId70" xr:uid="{700887FA-9069-4B7B-B980-10F0405C6E69}"/>
    <hyperlink ref="G22" r:id="rId71" xr:uid="{42E15AC4-D20F-4060-B127-773D47AF4995}"/>
    <hyperlink ref="C6" r:id="rId72" xr:uid="{B3A7D1AC-2DEF-45A7-9D7F-3BB75DAFDEF7}"/>
    <hyperlink ref="J10" r:id="rId73" xr:uid="{29F097A0-8E45-4F78-8C6F-D3725AF07B67}"/>
    <hyperlink ref="J8" r:id="rId74" xr:uid="{DF4AEB5F-4320-42D4-86BA-9FB7411CCAE6}"/>
    <hyperlink ref="J12" r:id="rId75" xr:uid="{9D3C486D-0708-4D56-8298-A8FEE381C3A0}"/>
    <hyperlink ref="J22" r:id="rId76" xr:uid="{694CD949-C68E-463A-B94D-43D258044DB6}"/>
    <hyperlink ref="G24" r:id="rId77" xr:uid="{F4118B51-08A6-4781-A36A-FC8791AF57C6}"/>
    <hyperlink ref="B22" r:id="rId78" xr:uid="{D8726576-752A-4758-AB9F-BAAFFED984E1}"/>
    <hyperlink ref="C22" r:id="rId79" xr:uid="{98ABAB4B-FC7B-4FB1-8C9B-F2F0AC844717}"/>
    <hyperlink ref="C23" r:id="rId80" xr:uid="{A1B21AE4-604D-486C-BD6B-B7AD4414FF3E}"/>
    <hyperlink ref="D22" r:id="rId81" xr:uid="{A18BA54E-3860-41CB-B65A-B115DDB136D8}"/>
    <hyperlink ref="D23" r:id="rId82" xr:uid="{AEA56930-EE22-400B-AE47-D391FB305709}"/>
    <hyperlink ref="E22" r:id="rId83" xr:uid="{3E6F2649-495F-4D79-862A-EAEBD90A1F4B}"/>
    <hyperlink ref="H22" r:id="rId84" xr:uid="{98E645E0-830B-4392-A874-1A5ADED4043F}"/>
    <hyperlink ref="H23" r:id="rId85" xr:uid="{A5BC4A67-D174-423D-A9EF-7229476ED817}"/>
    <hyperlink ref="I22" r:id="rId86" xr:uid="{ECA123B8-75EC-43D0-876E-C1FC0FC122F9}"/>
    <hyperlink ref="B27" r:id="rId87" xr:uid="{4DE59B97-4034-40E6-A3FB-2D142BF712EB}"/>
    <hyperlink ref="C27" r:id="rId88" xr:uid="{4E184100-9B45-445F-B596-FA69DC2F0EEC}"/>
    <hyperlink ref="D27" r:id="rId89" xr:uid="{FEA511EC-6E0C-4935-A853-CD7D46AB431F}"/>
    <hyperlink ref="D28" r:id="rId90" xr:uid="{87FE4DA4-644B-453D-9CB4-A5E2CBAF6BF3}"/>
    <hyperlink ref="E27" r:id="rId91" xr:uid="{846B693F-B579-4C44-BCA9-2B8759E4906C}"/>
    <hyperlink ref="H27" r:id="rId92" xr:uid="{32EFC6AB-FAE5-4EDF-A8FB-2758B98ED1E1}"/>
    <hyperlink ref="G29" r:id="rId93" xr:uid="{AA9F9D19-F120-4DD0-870C-4D6C42D8BD42}"/>
    <hyperlink ref="G30" r:id="rId94" xr:uid="{B55539B0-DFAE-43E6-A39C-4773F09654CB}"/>
    <hyperlink ref="H25" r:id="rId95" xr:uid="{1C34D534-511B-4F2E-98DF-2055D2DDA101}"/>
    <hyperlink ref="E11" r:id="rId96" xr:uid="{AFCD5038-786D-4D77-94B6-560290811E14}"/>
  </hyperlinks>
  <pageMargins left="0.7" right="0.7" top="0.75" bottom="0.75" header="0.3" footer="0.3"/>
  <pageSetup orientation="portrait" r:id="rId97"/>
  <tableParts count="1">
    <tablePart r:id="rId9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F8B9-DECC-48DF-BC61-FC5543BEA2FE}">
  <dimension ref="A1:J26"/>
  <sheetViews>
    <sheetView workbookViewId="0">
      <pane ySplit="1" topLeftCell="A17" activePane="bottomLeft" state="frozen"/>
      <selection pane="bottomLeft" activeCell="B23" sqref="B23"/>
    </sheetView>
  </sheetViews>
  <sheetFormatPr defaultRowHeight="16.5"/>
  <cols>
    <col min="1" max="1" width="19" style="7" customWidth="1"/>
    <col min="2" max="2" width="14.875" customWidth="1"/>
    <col min="3" max="3" width="14.25" customWidth="1"/>
    <col min="4" max="4" width="13.625" customWidth="1"/>
    <col min="5" max="5" width="14" customWidth="1"/>
    <col min="6" max="6" width="12.75" customWidth="1"/>
    <col min="7" max="7" width="13.875" customWidth="1"/>
    <col min="8" max="8" width="13.75" customWidth="1"/>
    <col min="9" max="9" width="12.625" customWidth="1"/>
    <col min="10" max="10" width="13.875" customWidth="1"/>
  </cols>
  <sheetData>
    <row r="1" spans="1:10" ht="21.75" customHeight="1">
      <c r="A1" s="45" t="s">
        <v>60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10" t="s">
        <v>16</v>
      </c>
    </row>
    <row r="2" spans="1:10" ht="26.25" customHeight="1">
      <c r="A2" s="11" t="s">
        <v>42</v>
      </c>
      <c r="B2" s="12" t="s">
        <v>18</v>
      </c>
      <c r="C2" s="13"/>
      <c r="D2" s="52"/>
      <c r="E2" s="12" t="s">
        <v>18</v>
      </c>
      <c r="F2" s="14"/>
      <c r="G2" s="12" t="s">
        <v>18</v>
      </c>
      <c r="H2" s="12" t="s">
        <v>18</v>
      </c>
      <c r="I2" s="52"/>
      <c r="J2" s="15" t="s">
        <v>18</v>
      </c>
    </row>
    <row r="3" spans="1:10" ht="27" customHeight="1">
      <c r="A3" s="11" t="s">
        <v>43</v>
      </c>
      <c r="B3" s="13"/>
      <c r="C3" s="12" t="s">
        <v>18</v>
      </c>
      <c r="D3" s="52"/>
      <c r="E3" s="13"/>
      <c r="F3" s="14"/>
      <c r="G3" s="12" t="s">
        <v>18</v>
      </c>
      <c r="H3" s="12" t="s">
        <v>18</v>
      </c>
      <c r="I3" s="52"/>
      <c r="J3" s="16"/>
    </row>
    <row r="4" spans="1:10" ht="28.5" customHeight="1">
      <c r="A4" s="11" t="s">
        <v>44</v>
      </c>
      <c r="B4" s="12" t="s">
        <v>18</v>
      </c>
      <c r="C4" s="12" t="s">
        <v>18</v>
      </c>
      <c r="D4" s="52"/>
      <c r="E4" s="12" t="s">
        <v>18</v>
      </c>
      <c r="F4" s="14"/>
      <c r="G4" s="12" t="s">
        <v>18</v>
      </c>
      <c r="H4" s="12" t="s">
        <v>18</v>
      </c>
      <c r="I4" s="52"/>
      <c r="J4" s="15" t="s">
        <v>18</v>
      </c>
    </row>
    <row r="5" spans="1:10" ht="31.5" customHeight="1">
      <c r="A5" s="11" t="s">
        <v>45</v>
      </c>
      <c r="B5" s="12" t="s">
        <v>18</v>
      </c>
      <c r="C5" s="12" t="s">
        <v>18</v>
      </c>
      <c r="D5" s="52"/>
      <c r="E5" s="12" t="s">
        <v>18</v>
      </c>
      <c r="F5" s="14"/>
      <c r="G5" s="12" t="s">
        <v>18</v>
      </c>
      <c r="H5" s="12" t="s">
        <v>18</v>
      </c>
      <c r="I5" s="52"/>
      <c r="J5" s="15" t="s">
        <v>18</v>
      </c>
    </row>
    <row r="6" spans="1:10" ht="30" customHeight="1">
      <c r="A6" s="17" t="s">
        <v>46</v>
      </c>
      <c r="B6" s="12" t="s">
        <v>18</v>
      </c>
      <c r="C6" s="12" t="s">
        <v>18</v>
      </c>
      <c r="D6" s="12" t="s">
        <v>17</v>
      </c>
      <c r="E6" s="12" t="s">
        <v>18</v>
      </c>
      <c r="F6" s="18"/>
      <c r="G6" s="19"/>
      <c r="H6" s="12" t="s">
        <v>17</v>
      </c>
      <c r="I6" s="52"/>
      <c r="J6" s="13"/>
    </row>
    <row r="7" spans="1:10" ht="30" customHeight="1">
      <c r="A7" s="20"/>
      <c r="B7" s="19"/>
      <c r="C7" s="19"/>
      <c r="D7" s="21" t="s">
        <v>19</v>
      </c>
      <c r="E7" s="19"/>
      <c r="F7" s="22"/>
      <c r="G7" s="19"/>
      <c r="H7" s="21" t="s">
        <v>19</v>
      </c>
      <c r="I7" s="53"/>
      <c r="J7" s="13"/>
    </row>
    <row r="8" spans="1:10" ht="29.25" customHeight="1">
      <c r="A8" s="11" t="s">
        <v>47</v>
      </c>
      <c r="B8" s="57" t="s">
        <v>61</v>
      </c>
      <c r="C8" s="54"/>
      <c r="D8" s="54"/>
      <c r="E8" s="54"/>
      <c r="F8" s="54"/>
      <c r="G8" s="54"/>
      <c r="H8" s="54"/>
      <c r="I8" s="54"/>
      <c r="J8" s="58"/>
    </row>
    <row r="9" spans="1:10" ht="32.25" customHeight="1">
      <c r="A9" s="11" t="s">
        <v>48</v>
      </c>
      <c r="B9" s="12" t="s">
        <v>18</v>
      </c>
      <c r="C9" s="12" t="s">
        <v>18</v>
      </c>
      <c r="D9" s="13"/>
      <c r="E9" s="12" t="s">
        <v>18</v>
      </c>
      <c r="F9" s="22" t="s">
        <v>18</v>
      </c>
      <c r="G9" s="12" t="s">
        <v>18</v>
      </c>
      <c r="H9" s="12" t="s">
        <v>18</v>
      </c>
      <c r="I9" s="53"/>
      <c r="J9" s="21" t="s">
        <v>18</v>
      </c>
    </row>
    <row r="10" spans="1:10" ht="31.5" customHeight="1">
      <c r="A10" s="11" t="s">
        <v>49</v>
      </c>
      <c r="B10" s="12" t="s">
        <v>18</v>
      </c>
      <c r="C10" s="12" t="s">
        <v>18</v>
      </c>
      <c r="D10" s="12" t="s">
        <v>17</v>
      </c>
      <c r="E10" s="12" t="s">
        <v>18</v>
      </c>
      <c r="F10" s="12" t="s">
        <v>18</v>
      </c>
      <c r="G10" s="12" t="s">
        <v>18</v>
      </c>
      <c r="H10" s="12" t="s">
        <v>18</v>
      </c>
      <c r="I10" s="53"/>
      <c r="J10" s="21" t="s">
        <v>18</v>
      </c>
    </row>
    <row r="11" spans="1:10" ht="31.5" customHeight="1">
      <c r="A11" s="11"/>
      <c r="B11" s="12"/>
      <c r="C11" s="12"/>
      <c r="D11" s="12" t="s">
        <v>19</v>
      </c>
      <c r="E11" s="12"/>
      <c r="F11" s="12"/>
      <c r="G11" s="12"/>
      <c r="H11" s="13"/>
      <c r="I11" s="52"/>
      <c r="J11" s="15"/>
    </row>
    <row r="12" spans="1:10" ht="30.75" customHeight="1">
      <c r="A12" s="11" t="s">
        <v>50</v>
      </c>
      <c r="B12" s="12" t="s">
        <v>18</v>
      </c>
      <c r="C12" s="12" t="s">
        <v>18</v>
      </c>
      <c r="D12" s="12" t="s">
        <v>17</v>
      </c>
      <c r="E12" s="12" t="s">
        <v>18</v>
      </c>
      <c r="F12" s="12" t="s">
        <v>18</v>
      </c>
      <c r="G12" s="12" t="s">
        <v>18</v>
      </c>
      <c r="H12" s="12" t="s">
        <v>18</v>
      </c>
      <c r="I12" s="52"/>
      <c r="J12" s="15" t="s">
        <v>18</v>
      </c>
    </row>
    <row r="13" spans="1:10" ht="30.75" customHeight="1">
      <c r="A13" s="11"/>
      <c r="B13" s="12"/>
      <c r="C13" s="12"/>
      <c r="D13" s="12" t="s">
        <v>19</v>
      </c>
      <c r="E13" s="12"/>
      <c r="F13" s="12"/>
      <c r="G13" s="12"/>
      <c r="H13" s="12"/>
      <c r="I13" s="52"/>
      <c r="J13" s="15"/>
    </row>
    <row r="14" spans="1:10" ht="32.25" customHeight="1">
      <c r="A14" s="23" t="s">
        <v>51</v>
      </c>
      <c r="B14" s="13"/>
      <c r="C14" s="12" t="s">
        <v>18</v>
      </c>
      <c r="D14" s="12" t="s">
        <v>17</v>
      </c>
      <c r="E14" s="12" t="s">
        <v>18</v>
      </c>
      <c r="F14" s="12" t="s">
        <v>18</v>
      </c>
      <c r="G14" s="12" t="s">
        <v>18</v>
      </c>
      <c r="H14" s="12" t="s">
        <v>18</v>
      </c>
      <c r="I14" s="52"/>
      <c r="J14" s="15" t="s">
        <v>18</v>
      </c>
    </row>
    <row r="15" spans="1:10" ht="32.25" customHeight="1">
      <c r="A15" s="24"/>
      <c r="B15" s="13"/>
      <c r="C15" s="12"/>
      <c r="D15" s="12" t="s">
        <v>19</v>
      </c>
      <c r="E15" s="12"/>
      <c r="F15" s="12"/>
      <c r="G15" s="12"/>
      <c r="H15" s="12"/>
      <c r="I15" s="52"/>
      <c r="J15" s="15"/>
    </row>
    <row r="16" spans="1:10" ht="31.5" customHeight="1">
      <c r="A16" s="23" t="s">
        <v>52</v>
      </c>
      <c r="B16" s="13"/>
      <c r="C16" s="12" t="s">
        <v>18</v>
      </c>
      <c r="D16" s="12" t="s">
        <v>17</v>
      </c>
      <c r="E16" s="12" t="s">
        <v>18</v>
      </c>
      <c r="F16" s="12" t="s">
        <v>18</v>
      </c>
      <c r="G16" s="12" t="s">
        <v>18</v>
      </c>
      <c r="H16" s="12" t="s">
        <v>18</v>
      </c>
      <c r="I16" s="52"/>
      <c r="J16" s="15" t="s">
        <v>18</v>
      </c>
    </row>
    <row r="17" spans="1:10" ht="31.5" customHeight="1">
      <c r="A17" s="24"/>
      <c r="B17" s="13"/>
      <c r="C17" s="13"/>
      <c r="D17" s="12" t="s">
        <v>19</v>
      </c>
      <c r="E17" s="13"/>
      <c r="F17" s="13"/>
      <c r="G17" s="13"/>
      <c r="H17" s="13"/>
      <c r="I17" s="52"/>
      <c r="J17" s="16"/>
    </row>
    <row r="18" spans="1:10" ht="31.5" customHeight="1">
      <c r="A18" s="11" t="s">
        <v>53</v>
      </c>
      <c r="B18" s="12" t="s">
        <v>18</v>
      </c>
      <c r="C18" s="12" t="s">
        <v>18</v>
      </c>
      <c r="D18" s="52"/>
      <c r="E18" s="12" t="s">
        <v>18</v>
      </c>
      <c r="F18" s="12" t="s">
        <v>18</v>
      </c>
      <c r="G18" s="12" t="s">
        <v>18</v>
      </c>
      <c r="H18" s="12" t="s">
        <v>18</v>
      </c>
      <c r="I18" s="52"/>
      <c r="J18" s="15" t="s">
        <v>18</v>
      </c>
    </row>
    <row r="19" spans="1:10" ht="33" customHeight="1">
      <c r="A19" s="11" t="s">
        <v>54</v>
      </c>
      <c r="B19" s="12" t="s">
        <v>18</v>
      </c>
      <c r="C19" s="13"/>
      <c r="D19" s="52"/>
      <c r="E19" s="12" t="s">
        <v>18</v>
      </c>
      <c r="F19" s="13" t="s">
        <v>18</v>
      </c>
      <c r="G19" s="12" t="s">
        <v>18</v>
      </c>
      <c r="H19" s="12" t="s">
        <v>18</v>
      </c>
      <c r="I19" s="52"/>
      <c r="J19" s="15" t="s">
        <v>18</v>
      </c>
    </row>
    <row r="20" spans="1:10" ht="33" customHeight="1">
      <c r="A20" s="11" t="s">
        <v>55</v>
      </c>
      <c r="B20" s="12" t="s">
        <v>18</v>
      </c>
      <c r="C20" s="12" t="s">
        <v>18</v>
      </c>
      <c r="D20" s="52"/>
      <c r="E20" s="12" t="s">
        <v>18</v>
      </c>
      <c r="F20" s="12" t="s">
        <v>18</v>
      </c>
      <c r="G20" s="12" t="s">
        <v>18</v>
      </c>
      <c r="H20" s="12" t="s">
        <v>18</v>
      </c>
      <c r="I20" s="52"/>
      <c r="J20" s="15" t="s">
        <v>18</v>
      </c>
    </row>
    <row r="21" spans="1:10" ht="31.5" customHeight="1">
      <c r="A21" s="11" t="s">
        <v>56</v>
      </c>
      <c r="B21" s="57" t="s">
        <v>62</v>
      </c>
      <c r="C21" s="54"/>
      <c r="D21" s="54"/>
      <c r="E21" s="54"/>
      <c r="F21" s="54"/>
      <c r="G21" s="54"/>
      <c r="H21" s="54"/>
      <c r="I21" s="54"/>
      <c r="J21" s="58"/>
    </row>
    <row r="22" spans="1:10" ht="32.25" customHeight="1">
      <c r="A22" s="25" t="s">
        <v>57</v>
      </c>
      <c r="B22" s="21" t="s">
        <v>18</v>
      </c>
      <c r="C22" s="21" t="s">
        <v>18</v>
      </c>
      <c r="D22" s="53"/>
      <c r="E22" s="21" t="s">
        <v>18</v>
      </c>
      <c r="F22" s="21" t="s">
        <v>18</v>
      </c>
      <c r="G22" s="21" t="s">
        <v>18</v>
      </c>
      <c r="H22" s="21" t="s">
        <v>18</v>
      </c>
      <c r="I22" s="53"/>
      <c r="J22" s="21" t="s">
        <v>18</v>
      </c>
    </row>
    <row r="23" spans="1:10" ht="32.25" customHeight="1">
      <c r="A23" s="26" t="s">
        <v>63</v>
      </c>
      <c r="B23" s="52"/>
      <c r="C23" s="21" t="s">
        <v>18</v>
      </c>
      <c r="D23" s="55"/>
      <c r="E23" s="21" t="s">
        <v>18</v>
      </c>
      <c r="F23" s="21" t="s">
        <v>18</v>
      </c>
      <c r="G23" s="21" t="s">
        <v>18</v>
      </c>
      <c r="H23" s="21" t="s">
        <v>18</v>
      </c>
      <c r="I23" s="55"/>
      <c r="J23" s="21" t="s">
        <v>18</v>
      </c>
    </row>
    <row r="24" spans="1:10" ht="32.25" customHeight="1">
      <c r="A24" s="23" t="s">
        <v>64</v>
      </c>
      <c r="B24" s="15" t="s">
        <v>18</v>
      </c>
      <c r="C24" s="15" t="s">
        <v>18</v>
      </c>
      <c r="D24" s="56"/>
      <c r="E24" s="56"/>
      <c r="F24" s="15" t="s">
        <v>18</v>
      </c>
      <c r="G24" s="15" t="s">
        <v>18</v>
      </c>
      <c r="H24" s="15" t="s">
        <v>18</v>
      </c>
      <c r="I24" s="56"/>
      <c r="J24" s="56"/>
    </row>
    <row r="26" spans="1:10">
      <c r="C26" s="5"/>
      <c r="D26" s="6" t="s">
        <v>58</v>
      </c>
      <c r="E26" s="6"/>
      <c r="F26" s="6"/>
      <c r="G26" s="6"/>
    </row>
  </sheetData>
  <phoneticPr fontId="6" type="noConversion"/>
  <hyperlinks>
    <hyperlink ref="B2" r:id="rId1" xr:uid="{150B79FC-921B-4806-A24A-C78068547017}"/>
    <hyperlink ref="B4" r:id="rId2" xr:uid="{EA611AF8-433D-48AB-B5C0-FAACB9EB82C5}"/>
    <hyperlink ref="G4" r:id="rId3" xr:uid="{77C8A46A-ED35-4F2A-8F05-0419FECE1766}"/>
    <hyperlink ref="H4" r:id="rId4" xr:uid="{3EB7A830-766D-4BDD-B4FF-3EBB7876BB74}"/>
    <hyperlink ref="E2" r:id="rId5" xr:uid="{AEEAC15F-4B8A-435D-8530-78203A4C62B0}"/>
    <hyperlink ref="J2" r:id="rId6" xr:uid="{A4505ADD-1680-48A6-9976-242D47A42AC4}"/>
    <hyperlink ref="H2" r:id="rId7" xr:uid="{9B79FFE6-68CF-4AB0-90B3-2669959FD360}"/>
    <hyperlink ref="G2" r:id="rId8" xr:uid="{7E2BDCD4-FAC7-46EC-999F-F0B3AEE1EDA4}"/>
    <hyperlink ref="C3" r:id="rId9" xr:uid="{3C9E4F07-182B-43DE-B47E-D8BC83C27434}"/>
    <hyperlink ref="C4" r:id="rId10" xr:uid="{65173D8F-05DC-4ADD-B452-7CF931688836}"/>
    <hyperlink ref="G3" r:id="rId11" xr:uid="{B1A0BBEB-9B02-4FD4-9E0F-31CA6C66065B}"/>
    <hyperlink ref="E4" r:id="rId12" xr:uid="{FC55A2B2-0B4B-4FD5-8A9B-6C6F1518F3AF}"/>
    <hyperlink ref="J4" r:id="rId13" xr:uid="{093BCD98-3292-45FF-A041-435F56386B60}"/>
    <hyperlink ref="H3" r:id="rId14" xr:uid="{96E0FA61-DA68-4617-8CE6-2E8C23D10579}"/>
    <hyperlink ref="G5" r:id="rId15" xr:uid="{4F81B3C4-78F8-44E6-ABC8-1C0A890845ED}"/>
    <hyperlink ref="H5" r:id="rId16" xr:uid="{65E3C600-A2D2-44DD-8C12-1841FB64B5A5}"/>
    <hyperlink ref="J5" r:id="rId17" xr:uid="{D9170E05-0E16-4E00-9EB5-229C290F8990}"/>
    <hyperlink ref="C5" r:id="rId18" xr:uid="{AE3E8AB0-1801-426C-AEE7-B5F15430250E}"/>
    <hyperlink ref="E5" r:id="rId19" xr:uid="{770B8290-B1B0-4F18-BF51-C064EC0022F5}"/>
    <hyperlink ref="B5" r:id="rId20" xr:uid="{CE61008A-2C2B-4677-934A-73A04B453642}"/>
    <hyperlink ref="H6" r:id="rId21" xr:uid="{D161C1EA-57D5-419F-8C30-56ADFF0277D5}"/>
    <hyperlink ref="H7" r:id="rId22" xr:uid="{7156EA3D-527A-4209-A40D-F678E1F7577F}"/>
    <hyperlink ref="D6" r:id="rId23" xr:uid="{E186677B-34C6-401B-AE84-B3E252E2CB1A}"/>
    <hyperlink ref="D7" r:id="rId24" xr:uid="{24E144C9-B9BB-4B04-88A0-1F867967BD62}"/>
    <hyperlink ref="C6" r:id="rId25" xr:uid="{410C4009-E805-44EC-8ABC-442CEEB2448E}"/>
    <hyperlink ref="E6" r:id="rId26" xr:uid="{2C63E3D0-89D3-46C1-A6B0-1F0456511304}"/>
    <hyperlink ref="B6" r:id="rId27" xr:uid="{E5EBCA5E-A5D8-4342-9C3F-8A3C6099665C}"/>
    <hyperlink ref="B9" r:id="rId28" xr:uid="{6A2EF98F-A697-4C78-841D-9C03174102C6}"/>
    <hyperlink ref="E9" r:id="rId29" xr:uid="{C301D9E9-BB98-49DD-BC7B-7B189DAD86B4}"/>
    <hyperlink ref="C9" r:id="rId30" xr:uid="{19CE9502-5805-4E85-B96B-82B52A1EEE44}"/>
    <hyperlink ref="J9" r:id="rId31" xr:uid="{CD900AD3-E8AD-4843-B1A1-905AAB89509A}"/>
    <hyperlink ref="H9" r:id="rId32" xr:uid="{1925AE29-7282-4EE4-BB97-CA7C4A7320F5}"/>
    <hyperlink ref="G9" r:id="rId33" xr:uid="{5D32A4EC-4423-42A6-B6BB-61578408FCE4}"/>
    <hyperlink ref="B10" r:id="rId34" xr:uid="{03402339-22A0-4272-A3B5-FE2988C23A90}"/>
    <hyperlink ref="E10" r:id="rId35" xr:uid="{86B2AE14-25C9-453C-8AE7-00F90E787E57}"/>
    <hyperlink ref="J10" r:id="rId36" xr:uid="{3079C717-2A8C-4232-AE0F-7A51FB2EB04D}"/>
    <hyperlink ref="F10" r:id="rId37" xr:uid="{9DC6A9E2-522E-498E-B78B-F85456C92181}"/>
    <hyperlink ref="G10" r:id="rId38" xr:uid="{15FE64B1-6323-4769-9A4C-3B34CD882617}"/>
    <hyperlink ref="C10" r:id="rId39" xr:uid="{2EEAE5DE-B800-4F46-9EE3-FC634A621794}"/>
    <hyperlink ref="D10" r:id="rId40" xr:uid="{9E70C5FC-461A-45C6-9CE1-D59447961966}"/>
    <hyperlink ref="D11" r:id="rId41" xr:uid="{CD7A5022-4F5A-4412-BA6A-4EFAB209D27F}"/>
    <hyperlink ref="H10" r:id="rId42" xr:uid="{B31C6560-324E-455C-A35B-4E5A7CBFF079}"/>
    <hyperlink ref="B12" r:id="rId43" xr:uid="{EB875D1C-8BB4-4C31-9756-321169C95F22}"/>
    <hyperlink ref="E12" r:id="rId44" xr:uid="{1BB34042-DB02-49D6-ACD2-DFAF65C580E4}"/>
    <hyperlink ref="C12" r:id="rId45" xr:uid="{764F20F6-28AA-4A40-9FBA-037E3D1F9AD4}"/>
    <hyperlink ref="J12" r:id="rId46" xr:uid="{29CC949F-85D4-471F-9196-3209101D1F35}"/>
    <hyperlink ref="H12" r:id="rId47" xr:uid="{6B6E4C71-4875-4961-B7A9-238E1372C732}"/>
    <hyperlink ref="G12" r:id="rId48" xr:uid="{B0B6A18F-FF5C-4901-9851-DA2BEBF47D3A}"/>
    <hyperlink ref="F12" r:id="rId49" xr:uid="{07B11DBE-B62C-4259-998B-E1E57D06A1CE}"/>
    <hyperlink ref="D12" r:id="rId50" xr:uid="{A2CDDBE6-FFB1-45B3-B32F-83FEEFD4D887}"/>
    <hyperlink ref="D13" r:id="rId51" xr:uid="{7A000A36-EB1C-4EE9-9AE9-AF97E5989B75}"/>
    <hyperlink ref="E14" r:id="rId52" xr:uid="{6CCE232F-6938-48EB-9637-D2FB0E60078F}"/>
    <hyperlink ref="C14" r:id="rId53" xr:uid="{EC3F6B9D-D116-4599-B84F-1C0AD6C38D14}"/>
    <hyperlink ref="J14" r:id="rId54" xr:uid="{201839D1-80F1-42D0-9333-8531995B82EA}"/>
    <hyperlink ref="H14" r:id="rId55" xr:uid="{20977967-1529-495E-9D33-6E469CFACBF2}"/>
    <hyperlink ref="G14" r:id="rId56" xr:uid="{5410A4E9-A709-41A8-A8B1-B68E1120354F}"/>
    <hyperlink ref="F14" r:id="rId57" xr:uid="{B423581C-15D2-4208-A42D-4B30731AEF47}"/>
    <hyperlink ref="D14" r:id="rId58" xr:uid="{5DB1C8FB-8A0F-4C18-A544-9D9B9329A619}"/>
    <hyperlink ref="D15" r:id="rId59" xr:uid="{07B11F5F-A7CA-4088-9083-2DE1DED50B67}"/>
    <hyperlink ref="D16" r:id="rId60" xr:uid="{937AD6FD-493C-4BF5-837E-A64B64562635}"/>
    <hyperlink ref="D17" r:id="rId61" xr:uid="{87AAC23F-4A98-4684-BB3C-151595AD58F9}"/>
    <hyperlink ref="E16" r:id="rId62" xr:uid="{5FA30401-DDCC-4BBD-AE07-AE9262B3E3A8}"/>
    <hyperlink ref="C16" r:id="rId63" xr:uid="{CB357370-02D3-45E7-A61A-46308FE31802}"/>
    <hyperlink ref="J16" r:id="rId64" xr:uid="{E998926D-DE37-446D-B860-55697A340657}"/>
    <hyperlink ref="H16" r:id="rId65" xr:uid="{417EE326-176F-4E36-A6EB-C3B02C9DF7BD}"/>
    <hyperlink ref="G16" r:id="rId66" xr:uid="{18CF69EB-4373-4257-B2A0-BE4083D0AB1F}"/>
    <hyperlink ref="F16" r:id="rId67" xr:uid="{661B7CE8-A887-4C4D-8A7A-D6240B82AE86}"/>
    <hyperlink ref="B18" r:id="rId68" xr:uid="{5BD19B2F-A04A-45AC-AAD3-A2452BF6EC86}"/>
    <hyperlink ref="E18" r:id="rId69" xr:uid="{C72D075D-3701-4930-88D4-21DC95F12655}"/>
    <hyperlink ref="C18" r:id="rId70" xr:uid="{4E2C4422-F034-44DA-89F7-3A64D4CB0F04}"/>
    <hyperlink ref="J18" r:id="rId71" xr:uid="{C6346EEC-12FA-4EAF-B694-250D374AD99E}"/>
    <hyperlink ref="H18" r:id="rId72" xr:uid="{10F765E8-B46D-40A9-BA8D-5DDA06642B66}"/>
    <hyperlink ref="G18" r:id="rId73" xr:uid="{3E8AE733-E28C-4D03-990D-F051863EE296}"/>
    <hyperlink ref="F18" r:id="rId74" xr:uid="{FAE7CF01-C891-4326-B163-B532093B7D0C}"/>
    <hyperlink ref="B19" r:id="rId75" xr:uid="{D64D0506-A18B-4C73-9757-1B2E6E2C07DD}"/>
    <hyperlink ref="E19" r:id="rId76" xr:uid="{1E45C710-03F8-4F0B-80A4-B549BEFB47AE}"/>
    <hyperlink ref="J19" r:id="rId77" xr:uid="{262B111C-56C5-484D-AEC9-3CE693B2BDCC}"/>
    <hyperlink ref="H19" r:id="rId78" xr:uid="{2E4893F5-425C-4366-9D41-4149F42F3E5B}"/>
    <hyperlink ref="G19" r:id="rId79" xr:uid="{CDE0FFB5-7DF1-4B8C-AB50-AEBA1F11A169}"/>
    <hyperlink ref="B20" r:id="rId80" xr:uid="{4A48B0BE-E506-41EA-8197-F209B5CF8063}"/>
    <hyperlink ref="E20" r:id="rId81" xr:uid="{0FD4DC76-12BD-475E-BF3C-47E4E80BF4D4}"/>
    <hyperlink ref="C20" r:id="rId82" xr:uid="{96B6A236-B252-46C7-AF15-EFEDA4832BCB}"/>
    <hyperlink ref="J20" r:id="rId83" xr:uid="{3E18FDBF-2AAA-4E4A-AB23-45E7C44CAA19}"/>
    <hyperlink ref="H20" r:id="rId84" xr:uid="{D2C25BDC-749C-45E6-99C6-58C8A644E04B}"/>
    <hyperlink ref="G20" r:id="rId85" xr:uid="{525ED2B8-7761-427A-BCC7-7EAA11AF24CA}"/>
    <hyperlink ref="F20" r:id="rId86" xr:uid="{D41A843F-30DB-4257-A729-FEF7605C329A}"/>
    <hyperlink ref="B22" r:id="rId87" xr:uid="{115616F0-3149-4523-9E89-31434D0BCA67}"/>
    <hyperlink ref="E22" r:id="rId88" xr:uid="{1F74BAA5-3B2C-4BEF-B177-30630102AC9A}"/>
    <hyperlink ref="C22" r:id="rId89" xr:uid="{C9BDD8E3-9B68-4A2C-96F2-907E8980B30F}"/>
    <hyperlink ref="J22" r:id="rId90" xr:uid="{7AFFA504-F7D2-4231-A6EF-8CC243862A30}"/>
    <hyperlink ref="H22" r:id="rId91" xr:uid="{BF4E1606-53D5-4965-86C9-E437C54C0390}"/>
    <hyperlink ref="F22" r:id="rId92" xr:uid="{9C0C9FB9-5B78-45E7-BDE4-4E2EC332F7B2}"/>
    <hyperlink ref="G22" r:id="rId93" xr:uid="{5AEB98C9-D73E-47BA-BDEF-95AA348A6299}"/>
    <hyperlink ref="E23" r:id="rId94" xr:uid="{D7BE0A3E-18A7-4CD9-A988-B61F72F82821}"/>
    <hyperlink ref="C23" r:id="rId95" xr:uid="{8DCB884E-B237-41C2-85D7-DF79E478B9AB}"/>
    <hyperlink ref="J23" r:id="rId96" xr:uid="{A57A0706-7C6B-43D1-BC4B-A16F38D62DB3}"/>
    <hyperlink ref="H23" r:id="rId97" xr:uid="{7CB5E21D-DAF0-4D39-9F3F-9BA1B7F8E456}"/>
    <hyperlink ref="G23" r:id="rId98" xr:uid="{2BEAB269-C139-4DD1-844E-F51B2B2230FF}"/>
    <hyperlink ref="F23" r:id="rId99" xr:uid="{18BBDFB0-7AB3-4A4D-8245-37FE5875546F}"/>
    <hyperlink ref="B24" r:id="rId100" xr:uid="{C943ABC2-6C28-420B-B648-2410DFD65DFF}"/>
    <hyperlink ref="C24" r:id="rId101" xr:uid="{378455E2-B788-4F69-82D7-71716B76BF3F}"/>
    <hyperlink ref="H24" r:id="rId102" xr:uid="{2281D0E8-00F2-498E-9DA2-2D10FF7C6A0C}"/>
    <hyperlink ref="G24" r:id="rId103" xr:uid="{F00C38A6-B83D-4C9E-8BA8-41E42B64255E}"/>
    <hyperlink ref="F24" r:id="rId104" xr:uid="{6664EDD6-6A7D-4815-B452-EF9F09D7A67F}"/>
  </hyperlinks>
  <pageMargins left="0.7" right="0.7" top="0.75" bottom="0.75" header="0.3" footer="0.3"/>
  <tableParts count="1">
    <tablePart r:id="rId1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C8BF-2BA0-46A3-93AB-E7403362DD30}">
  <dimension ref="A1:K24"/>
  <sheetViews>
    <sheetView workbookViewId="0">
      <pane ySplit="1" topLeftCell="A2" activePane="bottomLeft" state="frozen"/>
      <selection pane="bottomLeft" activeCell="B2" sqref="B2:I2"/>
    </sheetView>
  </sheetViews>
  <sheetFormatPr defaultRowHeight="16.5"/>
  <cols>
    <col min="1" max="1" width="15.75" style="7" customWidth="1"/>
    <col min="2" max="2" width="13.375" customWidth="1"/>
    <col min="3" max="3" width="14.25" customWidth="1"/>
    <col min="4" max="4" width="13.625" customWidth="1"/>
    <col min="5" max="5" width="13.375" customWidth="1"/>
    <col min="6" max="6" width="12.75" customWidth="1"/>
    <col min="7" max="7" width="13.875" customWidth="1"/>
    <col min="8" max="8" width="13.75" customWidth="1"/>
    <col min="9" max="10" width="12.125" customWidth="1"/>
    <col min="11" max="11" width="18" customWidth="1"/>
  </cols>
  <sheetData>
    <row r="1" spans="1:11" s="8" customFormat="1" ht="21" customHeight="1">
      <c r="A1" s="50" t="s">
        <v>85</v>
      </c>
      <c r="B1" s="47" t="s">
        <v>105</v>
      </c>
      <c r="C1" s="47" t="s">
        <v>65</v>
      </c>
      <c r="D1" s="47" t="s">
        <v>66</v>
      </c>
      <c r="E1" s="47" t="s">
        <v>106</v>
      </c>
      <c r="F1" s="47" t="s">
        <v>67</v>
      </c>
      <c r="G1" s="47" t="s">
        <v>102</v>
      </c>
      <c r="H1" s="47" t="s">
        <v>2</v>
      </c>
      <c r="I1" s="47" t="s">
        <v>68</v>
      </c>
      <c r="J1" s="51" t="s">
        <v>107</v>
      </c>
      <c r="K1" s="51" t="s">
        <v>103</v>
      </c>
    </row>
    <row r="2" spans="1:11" ht="27" customHeight="1">
      <c r="A2" s="48" t="s">
        <v>86</v>
      </c>
      <c r="B2" s="46" t="s">
        <v>18</v>
      </c>
      <c r="C2" s="46" t="s">
        <v>18</v>
      </c>
      <c r="D2" s="46" t="s">
        <v>18</v>
      </c>
      <c r="E2" s="46" t="s">
        <v>18</v>
      </c>
      <c r="F2" s="46" t="s">
        <v>18</v>
      </c>
      <c r="G2" s="46" t="s">
        <v>18</v>
      </c>
      <c r="H2" s="46" t="s">
        <v>18</v>
      </c>
      <c r="I2" s="46" t="s">
        <v>18</v>
      </c>
      <c r="J2" s="49"/>
      <c r="K2" s="49" t="s">
        <v>104</v>
      </c>
    </row>
    <row r="3" spans="1:11" ht="28.5" customHeight="1">
      <c r="A3" s="48" t="s">
        <v>87</v>
      </c>
      <c r="B3" s="46" t="s">
        <v>18</v>
      </c>
      <c r="C3" s="46" t="s">
        <v>18</v>
      </c>
      <c r="D3" s="46" t="s">
        <v>18</v>
      </c>
      <c r="E3" s="46" t="s">
        <v>18</v>
      </c>
      <c r="F3" s="46" t="s">
        <v>18</v>
      </c>
      <c r="G3" s="46" t="s">
        <v>18</v>
      </c>
      <c r="H3" s="46" t="s">
        <v>18</v>
      </c>
      <c r="I3" s="46" t="s">
        <v>18</v>
      </c>
      <c r="J3" s="49"/>
      <c r="K3" s="28"/>
    </row>
    <row r="4" spans="1:11" ht="31.5" customHeight="1">
      <c r="A4" s="48" t="s">
        <v>88</v>
      </c>
      <c r="B4" s="46" t="s">
        <v>18</v>
      </c>
      <c r="C4" s="46" t="s">
        <v>18</v>
      </c>
      <c r="D4" s="46" t="s">
        <v>18</v>
      </c>
      <c r="E4" s="46" t="s">
        <v>18</v>
      </c>
      <c r="F4" s="46" t="s">
        <v>18</v>
      </c>
      <c r="G4" s="46" t="s">
        <v>18</v>
      </c>
      <c r="H4" s="46" t="s">
        <v>18</v>
      </c>
      <c r="I4" s="46" t="s">
        <v>18</v>
      </c>
      <c r="J4" s="49"/>
      <c r="K4" s="28"/>
    </row>
    <row r="5" spans="1:11" ht="30" customHeight="1">
      <c r="A5" s="48" t="s">
        <v>89</v>
      </c>
      <c r="B5" s="21" t="s">
        <v>18</v>
      </c>
      <c r="C5" s="21" t="s">
        <v>18</v>
      </c>
      <c r="D5" s="21" t="s">
        <v>18</v>
      </c>
      <c r="E5" s="21" t="s">
        <v>18</v>
      </c>
      <c r="F5" s="21" t="s">
        <v>18</v>
      </c>
      <c r="G5" s="21" t="s">
        <v>18</v>
      </c>
      <c r="H5" s="21" t="s">
        <v>18</v>
      </c>
      <c r="I5" s="21" t="s">
        <v>18</v>
      </c>
      <c r="J5" s="21"/>
      <c r="K5" s="19"/>
    </row>
    <row r="6" spans="1:11" ht="29.25" customHeight="1">
      <c r="A6" s="48" t="s">
        <v>90</v>
      </c>
      <c r="B6" s="46" t="s">
        <v>18</v>
      </c>
      <c r="C6" s="46" t="s">
        <v>18</v>
      </c>
      <c r="D6" s="46" t="s">
        <v>18</v>
      </c>
      <c r="E6" s="46" t="s">
        <v>18</v>
      </c>
      <c r="F6" s="46" t="s">
        <v>18</v>
      </c>
      <c r="G6" s="46" t="s">
        <v>18</v>
      </c>
      <c r="H6" s="46" t="s">
        <v>18</v>
      </c>
      <c r="I6" s="46" t="s">
        <v>18</v>
      </c>
      <c r="J6" s="49" t="s">
        <v>18</v>
      </c>
      <c r="K6" s="28"/>
    </row>
    <row r="7" spans="1:11" ht="32.25" customHeight="1">
      <c r="A7" s="48" t="s">
        <v>91</v>
      </c>
      <c r="B7" s="46" t="s">
        <v>18</v>
      </c>
      <c r="C7" s="46" t="s">
        <v>18</v>
      </c>
      <c r="D7" s="46" t="s">
        <v>18</v>
      </c>
      <c r="E7" s="46" t="s">
        <v>18</v>
      </c>
      <c r="F7" s="46" t="s">
        <v>18</v>
      </c>
      <c r="G7" s="46" t="s">
        <v>18</v>
      </c>
      <c r="H7" s="59"/>
      <c r="I7" s="59"/>
      <c r="J7" s="28"/>
      <c r="K7" s="49" t="s">
        <v>108</v>
      </c>
    </row>
    <row r="8" spans="1:11" ht="31.5" customHeight="1">
      <c r="A8" s="48" t="s">
        <v>92</v>
      </c>
      <c r="B8" s="46" t="s">
        <v>18</v>
      </c>
      <c r="C8" s="46" t="s">
        <v>18</v>
      </c>
      <c r="D8" s="46" t="s">
        <v>18</v>
      </c>
      <c r="E8" s="46" t="s">
        <v>18</v>
      </c>
      <c r="F8" s="46" t="s">
        <v>18</v>
      </c>
      <c r="G8" s="46" t="s">
        <v>18</v>
      </c>
      <c r="H8" s="46" t="s">
        <v>18</v>
      </c>
      <c r="I8" s="46" t="s">
        <v>18</v>
      </c>
      <c r="J8" s="28"/>
      <c r="K8" s="49" t="s">
        <v>109</v>
      </c>
    </row>
    <row r="9" spans="1:11" ht="30.75" customHeight="1">
      <c r="A9" s="48" t="s">
        <v>93</v>
      </c>
      <c r="B9" s="46" t="s">
        <v>18</v>
      </c>
      <c r="C9" s="46" t="s">
        <v>18</v>
      </c>
      <c r="D9" s="46" t="s">
        <v>18</v>
      </c>
      <c r="E9" s="46" t="s">
        <v>18</v>
      </c>
      <c r="F9" s="46" t="s">
        <v>18</v>
      </c>
      <c r="G9" s="46" t="s">
        <v>18</v>
      </c>
      <c r="H9" s="46" t="s">
        <v>18</v>
      </c>
      <c r="I9" s="46" t="s">
        <v>18</v>
      </c>
      <c r="J9" s="28"/>
      <c r="K9" s="28"/>
    </row>
    <row r="10" spans="1:11" ht="32.25" customHeight="1">
      <c r="A10" s="48" t="s">
        <v>94</v>
      </c>
      <c r="B10" s="46" t="s">
        <v>18</v>
      </c>
      <c r="C10" s="46" t="s">
        <v>18</v>
      </c>
      <c r="D10" s="21" t="s">
        <v>18</v>
      </c>
      <c r="E10" s="63"/>
      <c r="F10" s="46" t="s">
        <v>18</v>
      </c>
      <c r="G10" s="21" t="s">
        <v>111</v>
      </c>
      <c r="H10" s="46" t="s">
        <v>18</v>
      </c>
      <c r="I10" s="46" t="s">
        <v>18</v>
      </c>
      <c r="J10" s="28"/>
      <c r="K10" s="28"/>
    </row>
    <row r="11" spans="1:11" ht="32.25" customHeight="1">
      <c r="A11" s="48"/>
      <c r="B11" s="46"/>
      <c r="C11" s="61"/>
      <c r="D11" s="62"/>
      <c r="E11" s="61"/>
      <c r="F11" s="61"/>
      <c r="G11" s="60" t="s">
        <v>110</v>
      </c>
      <c r="H11" s="61"/>
      <c r="I11" s="46"/>
      <c r="J11" s="28"/>
      <c r="K11" s="28"/>
    </row>
    <row r="12" spans="1:11" ht="31.5" customHeight="1">
      <c r="A12" s="48" t="s">
        <v>95</v>
      </c>
      <c r="B12" s="46" t="s">
        <v>18</v>
      </c>
      <c r="C12" s="46" t="s">
        <v>18</v>
      </c>
      <c r="D12" s="46" t="s">
        <v>18</v>
      </c>
      <c r="E12" s="46" t="s">
        <v>18</v>
      </c>
      <c r="F12" s="46" t="s">
        <v>18</v>
      </c>
      <c r="G12" s="46" t="s">
        <v>18</v>
      </c>
      <c r="H12" s="46" t="s">
        <v>18</v>
      </c>
      <c r="I12" s="46" t="s">
        <v>18</v>
      </c>
      <c r="J12" s="28"/>
      <c r="K12" s="49" t="s">
        <v>109</v>
      </c>
    </row>
    <row r="13" spans="1:11" ht="31.5" customHeight="1">
      <c r="A13" s="48" t="s">
        <v>96</v>
      </c>
      <c r="B13" s="46" t="s">
        <v>18</v>
      </c>
      <c r="C13" s="46" t="s">
        <v>18</v>
      </c>
      <c r="D13" s="46" t="s">
        <v>18</v>
      </c>
      <c r="E13" s="46" t="s">
        <v>18</v>
      </c>
      <c r="F13" s="46" t="s">
        <v>18</v>
      </c>
      <c r="G13" s="46" t="s">
        <v>18</v>
      </c>
      <c r="H13" s="46" t="s">
        <v>18</v>
      </c>
      <c r="I13" s="46" t="s">
        <v>18</v>
      </c>
      <c r="J13" s="28"/>
      <c r="K13" s="49" t="s">
        <v>109</v>
      </c>
    </row>
    <row r="14" spans="1:11" ht="33" customHeight="1">
      <c r="A14" s="48" t="s">
        <v>97</v>
      </c>
      <c r="B14" s="46" t="s">
        <v>18</v>
      </c>
      <c r="C14" s="46" t="s">
        <v>18</v>
      </c>
      <c r="D14" s="46" t="s">
        <v>18</v>
      </c>
      <c r="E14" s="46" t="s">
        <v>18</v>
      </c>
      <c r="F14" s="46" t="s">
        <v>18</v>
      </c>
      <c r="G14" s="46" t="s">
        <v>18</v>
      </c>
      <c r="H14" s="46" t="s">
        <v>18</v>
      </c>
      <c r="I14" s="46" t="s">
        <v>18</v>
      </c>
      <c r="J14" s="28"/>
      <c r="K14" s="49" t="s">
        <v>109</v>
      </c>
    </row>
    <row r="15" spans="1:11" ht="33" customHeight="1">
      <c r="A15" s="48" t="s">
        <v>98</v>
      </c>
      <c r="B15" s="46" t="s">
        <v>18</v>
      </c>
      <c r="C15" s="46" t="s">
        <v>18</v>
      </c>
      <c r="D15" s="46" t="s">
        <v>18</v>
      </c>
      <c r="E15" s="46" t="s">
        <v>18</v>
      </c>
      <c r="F15" s="46" t="s">
        <v>18</v>
      </c>
      <c r="G15" s="46" t="s">
        <v>18</v>
      </c>
      <c r="H15" s="46" t="s">
        <v>18</v>
      </c>
      <c r="I15" s="46" t="s">
        <v>18</v>
      </c>
      <c r="J15" s="28"/>
      <c r="K15" s="49" t="s">
        <v>109</v>
      </c>
    </row>
    <row r="16" spans="1:11" ht="31.5" customHeight="1">
      <c r="A16" s="48" t="s">
        <v>99</v>
      </c>
      <c r="B16" s="46" t="s">
        <v>18</v>
      </c>
      <c r="C16" s="46" t="s">
        <v>18</v>
      </c>
      <c r="D16" s="46" t="s">
        <v>18</v>
      </c>
      <c r="E16" s="46" t="s">
        <v>18</v>
      </c>
      <c r="F16" s="46" t="s">
        <v>18</v>
      </c>
      <c r="G16" s="46" t="s">
        <v>18</v>
      </c>
      <c r="H16" s="46" t="s">
        <v>18</v>
      </c>
      <c r="I16" s="46" t="s">
        <v>18</v>
      </c>
      <c r="J16" s="28"/>
      <c r="K16" s="49" t="s">
        <v>109</v>
      </c>
    </row>
    <row r="17" spans="1:11" ht="31.5" customHeight="1">
      <c r="A17" s="48"/>
      <c r="B17" s="46"/>
      <c r="C17" s="46"/>
      <c r="D17" s="46"/>
      <c r="E17" s="46"/>
      <c r="F17" s="46"/>
      <c r="G17" s="46"/>
      <c r="H17" s="46"/>
      <c r="I17" s="46"/>
      <c r="J17" s="28"/>
      <c r="K17" s="49" t="s">
        <v>114</v>
      </c>
    </row>
    <row r="18" spans="1:11" ht="31.5" customHeight="1">
      <c r="A18" s="48" t="s">
        <v>100</v>
      </c>
      <c r="B18" s="46" t="s">
        <v>18</v>
      </c>
      <c r="C18" s="46" t="s">
        <v>18</v>
      </c>
      <c r="D18" s="46" t="s">
        <v>18</v>
      </c>
      <c r="E18" s="46" t="s">
        <v>18</v>
      </c>
      <c r="F18" s="46" t="s">
        <v>18</v>
      </c>
      <c r="G18" s="46" t="s">
        <v>18</v>
      </c>
      <c r="H18" s="46" t="s">
        <v>18</v>
      </c>
      <c r="I18" s="46" t="s">
        <v>18</v>
      </c>
      <c r="J18" s="28"/>
      <c r="K18" s="28"/>
    </row>
    <row r="19" spans="1:11" ht="32.25" customHeight="1">
      <c r="A19" s="19" t="s">
        <v>101</v>
      </c>
      <c r="B19" s="46" t="s">
        <v>18</v>
      </c>
      <c r="C19" s="46" t="s">
        <v>18</v>
      </c>
      <c r="D19" s="46" t="s">
        <v>18</v>
      </c>
      <c r="E19" s="46" t="s">
        <v>18</v>
      </c>
      <c r="F19" s="46" t="s">
        <v>18</v>
      </c>
      <c r="G19" s="46" t="s">
        <v>18</v>
      </c>
      <c r="H19" s="46" t="s">
        <v>18</v>
      </c>
      <c r="I19" s="46" t="s">
        <v>18</v>
      </c>
      <c r="J19" s="19"/>
      <c r="K19" s="46" t="s">
        <v>109</v>
      </c>
    </row>
    <row r="20" spans="1:11" ht="32.25" customHeight="1">
      <c r="A20" s="19" t="s">
        <v>112</v>
      </c>
      <c r="B20" s="46" t="s">
        <v>18</v>
      </c>
      <c r="C20" s="46" t="s">
        <v>18</v>
      </c>
      <c r="D20" s="46" t="s">
        <v>18</v>
      </c>
      <c r="E20" s="46" t="s">
        <v>18</v>
      </c>
      <c r="F20" s="46" t="s">
        <v>18</v>
      </c>
      <c r="G20" s="46" t="s">
        <v>18</v>
      </c>
      <c r="H20" s="63"/>
      <c r="I20" s="46" t="s">
        <v>18</v>
      </c>
      <c r="J20" s="19"/>
      <c r="K20" s="19"/>
    </row>
    <row r="21" spans="1:11" ht="32.25" customHeight="1">
      <c r="A21" s="48" t="s">
        <v>113</v>
      </c>
      <c r="B21" s="46" t="s">
        <v>18</v>
      </c>
      <c r="C21" s="46" t="s">
        <v>18</v>
      </c>
      <c r="D21" s="46" t="s">
        <v>18</v>
      </c>
      <c r="E21" s="46" t="s">
        <v>18</v>
      </c>
      <c r="F21" s="46" t="s">
        <v>18</v>
      </c>
      <c r="G21" s="46" t="s">
        <v>115</v>
      </c>
      <c r="H21" s="21" t="s">
        <v>18</v>
      </c>
      <c r="I21" s="46" t="s">
        <v>18</v>
      </c>
      <c r="J21" s="28"/>
      <c r="K21" s="28"/>
    </row>
    <row r="22" spans="1:11" ht="32.25" customHeight="1">
      <c r="A22" s="19"/>
      <c r="B22" s="19"/>
      <c r="C22" s="19"/>
      <c r="D22" s="19"/>
      <c r="E22" s="19"/>
      <c r="F22" s="19"/>
      <c r="G22" s="46" t="s">
        <v>116</v>
      </c>
      <c r="H22" s="19"/>
      <c r="I22" s="19"/>
      <c r="J22" s="19"/>
      <c r="K22" s="19"/>
    </row>
    <row r="23" spans="1:11" ht="31.5" customHeight="1">
      <c r="A23"/>
    </row>
    <row r="24" spans="1:11">
      <c r="C24" s="5"/>
      <c r="D24" s="6" t="s">
        <v>58</v>
      </c>
      <c r="E24" s="6"/>
      <c r="F24" s="6"/>
      <c r="G24" s="6"/>
    </row>
  </sheetData>
  <phoneticPr fontId="6" type="noConversion"/>
  <hyperlinks>
    <hyperlink ref="B2" r:id="rId1" xr:uid="{DBCC7A1C-8ADC-45A1-90F0-E68C926FBF86}"/>
    <hyperlink ref="E2" r:id="rId2" xr:uid="{04604C12-5338-4D05-BAAB-3A2DD65ECB75}"/>
    <hyperlink ref="C2" r:id="rId3" xr:uid="{79626571-CA27-4904-AD45-99623F4034D5}"/>
    <hyperlink ref="D2" r:id="rId4" xr:uid="{1CC68E62-9BD6-4E56-BE45-61B41FC92B63}"/>
    <hyperlink ref="F2" r:id="rId5" xr:uid="{5A1DFBA9-0A25-4609-A841-1469EBC10085}"/>
    <hyperlink ref="G2" r:id="rId6" xr:uid="{279E5040-17C6-4E02-A20D-BFCBDAED514D}"/>
    <hyperlink ref="H2" r:id="rId7" xr:uid="{AA6EFF39-540B-419D-A8CE-141883DEC56C}"/>
    <hyperlink ref="K2" r:id="rId8" xr:uid="{2B3A79B0-91E6-4B77-BABD-622172E3712A}"/>
    <hyperlink ref="I2" r:id="rId9" xr:uid="{83163D83-DDA7-448B-9022-46CC2DD165E8}"/>
    <hyperlink ref="G3" r:id="rId10" xr:uid="{03B3029E-6265-443A-9440-567BDACA0B13}"/>
    <hyperlink ref="F3" r:id="rId11" xr:uid="{D488539B-7928-4643-B5AB-D38D896F7013}"/>
    <hyperlink ref="H3" r:id="rId12" xr:uid="{4E44DA82-BA89-4120-94A3-DC7E0BC01DBF}"/>
    <hyperlink ref="I3" r:id="rId13" xr:uid="{B5F7FB07-D8E0-42CA-B2CF-CF4D475AABAD}"/>
    <hyperlink ref="D3" r:id="rId14" xr:uid="{142918A7-98E8-4E6D-9BA3-C77B96A53C39}"/>
    <hyperlink ref="C3" r:id="rId15" xr:uid="{BA47C851-7FA8-4C57-8BA8-03A1452E2D14}"/>
    <hyperlink ref="B3" r:id="rId16" xr:uid="{AAC04707-4988-4D6E-A6BF-9C91EDC2C67D}"/>
    <hyperlink ref="E3" r:id="rId17" xr:uid="{0824C50A-5573-4928-B486-DBD39C9242B0}"/>
    <hyperlink ref="E4" r:id="rId18" xr:uid="{F7D9580D-8D6E-41A5-8ADC-0D3B5BBEAAF2}"/>
    <hyperlink ref="B4" r:id="rId19" xr:uid="{B14486F5-30AC-48BF-A36D-342064FD0664}"/>
    <hyperlink ref="C4" r:id="rId20" xr:uid="{24C68401-8EEF-4FB2-B97B-45580DAFE0E5}"/>
    <hyperlink ref="D4" r:id="rId21" xr:uid="{05AE42AB-076D-455A-B4A9-4E2ACEC5B256}"/>
    <hyperlink ref="I4" r:id="rId22" xr:uid="{F7043D42-3C38-40A9-898A-0563B7E2C30A}"/>
    <hyperlink ref="H4" r:id="rId23" xr:uid="{A2510629-8D03-4C8A-80A6-7821BCE4B3F6}"/>
    <hyperlink ref="F4" r:id="rId24" xr:uid="{4AF3E377-E61F-44F7-8CF6-9416D283D319}"/>
    <hyperlink ref="G4" r:id="rId25" xr:uid="{09D6DD9E-EBB4-449E-81C3-056436D6F452}"/>
    <hyperlink ref="G5" r:id="rId26" xr:uid="{9BC30DF6-6AD4-4FAC-99F5-845915D0556E}"/>
    <hyperlink ref="F5" r:id="rId27" xr:uid="{B76E9796-1A0E-424F-85A9-BE8C38E41D88}"/>
    <hyperlink ref="H5" r:id="rId28" xr:uid="{A1116CF5-CBC5-4367-8E78-0773412D74C4}"/>
    <hyperlink ref="I5" r:id="rId29" xr:uid="{62746515-1B7D-468C-8E73-4CB2FD1728E7}"/>
    <hyperlink ref="D5" r:id="rId30" xr:uid="{9F127597-119C-474F-BEA9-7CEDE796EA19}"/>
    <hyperlink ref="E5" r:id="rId31" xr:uid="{0D8E73ED-90FE-4F84-8608-B2F807D726C4}"/>
    <hyperlink ref="C5" r:id="rId32" xr:uid="{09ED2D66-2E83-4D6F-B73F-4735D4432FAF}"/>
    <hyperlink ref="B5" r:id="rId33" xr:uid="{10BD2D91-4B31-4D0D-A2DD-0119889D1277}"/>
    <hyperlink ref="J6" r:id="rId34" xr:uid="{E701B678-DA48-48B3-B93E-3DEC7B6D3BDF}"/>
    <hyperlink ref="B6" r:id="rId35" xr:uid="{D134A588-A80A-4CA0-9256-6FBD2B8707E3}"/>
    <hyperlink ref="C6" r:id="rId36" xr:uid="{E302E419-FDFA-4A6B-97ED-8AAE710C5E3B}"/>
    <hyperlink ref="E6" r:id="rId37" xr:uid="{C086EC43-9434-4415-8858-D2CCDC6B3E4A}"/>
    <hyperlink ref="D6" r:id="rId38" xr:uid="{AF42B00F-97EC-4471-8C7C-2579A35994C1}"/>
    <hyperlink ref="I6" r:id="rId39" xr:uid="{7F8F579F-BF51-492C-801D-85608B8DC054}"/>
    <hyperlink ref="H6" r:id="rId40" xr:uid="{82567095-EFAB-4568-8F65-99F5ACDC9327}"/>
    <hyperlink ref="G6" r:id="rId41" xr:uid="{778ADF0B-E9DD-4567-A0C1-090BEFC52A4D}"/>
    <hyperlink ref="F6" r:id="rId42" xr:uid="{EA6CD374-0A24-48D1-98AE-02D1345BB5FE}"/>
    <hyperlink ref="C7" r:id="rId43" xr:uid="{1181E8D2-030F-4922-8B1C-2D523D2B3CBC}"/>
    <hyperlink ref="E7" r:id="rId44" xr:uid="{84BA12B9-02EA-49CB-9EA4-456F0C80D1BB}"/>
    <hyperlink ref="D7" r:id="rId45" xr:uid="{AC912531-DF8E-4EFE-A4C5-27141FC4C951}"/>
    <hyperlink ref="B7" r:id="rId46" xr:uid="{494A61E9-D404-4718-B85F-BBB37A43D34A}"/>
    <hyperlink ref="G7" r:id="rId47" xr:uid="{F121982B-C0C9-4DE0-8BFA-D161A5091434}"/>
    <hyperlink ref="K7" r:id="rId48" xr:uid="{E86E8B24-3C52-46F8-B666-89593DEBB3DE}"/>
    <hyperlink ref="F7" r:id="rId49" xr:uid="{4FC38556-EFAD-4611-AB30-9983EFBCADBB}"/>
    <hyperlink ref="D8" r:id="rId50" xr:uid="{37CF9A80-FF0A-4D60-99DE-201B5F8A0447}"/>
    <hyperlink ref="I8" r:id="rId51" xr:uid="{43490CF4-EF68-4F4F-8B7C-D50C1892B255}"/>
    <hyperlink ref="H8" r:id="rId52" xr:uid="{D99746CF-7745-44A5-BAD4-94CB9EE6653C}"/>
    <hyperlink ref="F8" r:id="rId53" xr:uid="{147A1686-8568-4A5D-9575-846A034A7A19}"/>
    <hyperlink ref="G8" r:id="rId54" xr:uid="{F0671F87-16AD-4A1F-8CFB-7D13145F31B3}"/>
    <hyperlink ref="B8" r:id="rId55" xr:uid="{35FCA569-01E7-4ABE-81E4-4A3FCFAE159D}"/>
    <hyperlink ref="C8" r:id="rId56" xr:uid="{05DA2541-15B4-4356-85DC-4234FA328273}"/>
    <hyperlink ref="E8" r:id="rId57" xr:uid="{4FFBBDBA-D7AE-4C74-A96E-56E798E92916}"/>
    <hyperlink ref="K8" r:id="rId58" display="神道指歸課後雜談" xr:uid="{CCDC06CE-BF29-458E-874F-92A4395F3829}"/>
    <hyperlink ref="B9" r:id="rId59" xr:uid="{6AE67E2C-7DCE-4A54-9EC0-1455E366C471}"/>
    <hyperlink ref="C9" r:id="rId60" xr:uid="{72DFE3C1-7A1D-4549-AA7F-BE17DCE4BAA8}"/>
    <hyperlink ref="D9" r:id="rId61" xr:uid="{3D49E1C7-4A80-48E0-9121-F3E236F6D92C}"/>
    <hyperlink ref="E9" r:id="rId62" xr:uid="{EE8ED0B5-5B6E-4575-8173-E46FA26CF535}"/>
    <hyperlink ref="F9" r:id="rId63" xr:uid="{CA111C86-EDC7-46B4-980C-B5E9531B30E6}"/>
    <hyperlink ref="G9" r:id="rId64" xr:uid="{1D9D90EF-E4F8-4592-A30B-8E71D9ACFDE9}"/>
    <hyperlink ref="H9" r:id="rId65" xr:uid="{987D5D0E-ABF9-4932-BCEC-33F8ABD05472}"/>
    <hyperlink ref="I9" r:id="rId66" xr:uid="{61589130-D7D7-4E3C-8ED6-DF7622EC6A12}"/>
    <hyperlink ref="B10" r:id="rId67" xr:uid="{C2295038-B276-41C8-AFFB-8A8C5F38CAA5}"/>
    <hyperlink ref="C10" r:id="rId68" xr:uid="{8FA59D26-0E80-4D29-AC89-8C9B58196A40}"/>
    <hyperlink ref="H10" r:id="rId69" xr:uid="{5777EB8C-F08E-4710-A8BC-A5EDEEA00783}"/>
    <hyperlink ref="I10" r:id="rId70" xr:uid="{C85504B8-D422-4A33-8D67-23371A1EFE92}"/>
    <hyperlink ref="F10" r:id="rId71" xr:uid="{FEBDFD67-FBA1-4C79-BDC7-D7A2D6710610}"/>
    <hyperlink ref="G10" r:id="rId72" xr:uid="{A9A7FD43-FC5D-45AC-9AF0-B63CE53B80C1}"/>
    <hyperlink ref="G11" r:id="rId73" xr:uid="{5CFE32CD-D789-411E-9CE2-CD24DF1B63B3}"/>
    <hyperlink ref="D10" r:id="rId74" xr:uid="{FC5B6867-B266-4FF7-9D0D-77F61C389524}"/>
    <hyperlink ref="G12" r:id="rId75" xr:uid="{5F14C47A-5E93-49BB-BC9D-D7714EF4C969}"/>
    <hyperlink ref="F12" r:id="rId76" xr:uid="{0588BBA3-3D85-4349-9A22-084E30D5117C}"/>
    <hyperlink ref="H12" r:id="rId77" xr:uid="{43EDD581-D97E-47E7-82CA-25446F30A070}"/>
    <hyperlink ref="I12" r:id="rId78" xr:uid="{59620B89-D19B-404D-88BE-22AE2177BA11}"/>
    <hyperlink ref="D12" r:id="rId79" xr:uid="{FADEEA33-A40D-40D5-B409-EBFFD4F9CBD3}"/>
    <hyperlink ref="E12" r:id="rId80" xr:uid="{952F9D61-BAEC-4E60-96E7-5FB47DBBA846}"/>
    <hyperlink ref="K12" r:id="rId81" xr:uid="{88CBC728-3ECC-4A6B-B340-37EDD266EEB9}"/>
    <hyperlink ref="C12" r:id="rId82" xr:uid="{335D42D9-6012-41E7-B1DD-05C24E335C0E}"/>
    <hyperlink ref="B12" r:id="rId83" xr:uid="{355D7098-9091-468B-AA52-974127BE2945}"/>
    <hyperlink ref="B13" r:id="rId84" xr:uid="{786E2CCB-2825-4521-B165-32468526A787}"/>
    <hyperlink ref="C13" r:id="rId85" xr:uid="{158EB546-8DD8-498C-8ED8-2120C3F36DBA}"/>
    <hyperlink ref="K13" r:id="rId86" xr:uid="{D07EAF34-CBE0-44A4-B59D-156EA2A84F18}"/>
    <hyperlink ref="E13" r:id="rId87" xr:uid="{3FDA58C2-E001-462A-8B50-A25DAC94DFF0}"/>
    <hyperlink ref="D13" r:id="rId88" xr:uid="{23DCE3D9-87D1-4255-840F-49E784EC715F}"/>
    <hyperlink ref="I13" r:id="rId89" xr:uid="{CD17FDB2-A4ED-483E-9B93-AABDBAEA45E5}"/>
    <hyperlink ref="H13" r:id="rId90" xr:uid="{BE5184BF-E9E6-4DAE-898F-7D13E2A678C1}"/>
    <hyperlink ref="F13" r:id="rId91" xr:uid="{40CA82ED-77AB-42FE-BB01-C58150304F8E}"/>
    <hyperlink ref="G13" r:id="rId92" xr:uid="{5E4360C0-68F4-4355-B51A-836A05D73E04}"/>
    <hyperlink ref="B14" r:id="rId93" xr:uid="{D514C8B8-61D6-4378-89DC-2FC304D4D348}"/>
    <hyperlink ref="I14" r:id="rId94" xr:uid="{266E5CC9-5D42-40D7-8238-1EA0C01C8C21}"/>
    <hyperlink ref="C14" r:id="rId95" xr:uid="{A2D34A9C-9CF6-4869-A713-712DD522D942}"/>
    <hyperlink ref="K14" r:id="rId96" xr:uid="{39F881B0-B74D-4698-AA2E-09E6B38301AA}"/>
    <hyperlink ref="H14" r:id="rId97" xr:uid="{F7F544A5-0442-4F12-AE07-287D644A04CF}"/>
    <hyperlink ref="E14" r:id="rId98" xr:uid="{4098A5BA-0F47-4E70-929D-4251F765261C}"/>
    <hyperlink ref="G14" r:id="rId99" xr:uid="{16377F5A-FBCE-435F-B8ED-060088E02576}"/>
    <hyperlink ref="D14" r:id="rId100" xr:uid="{3AF1FEC2-3BEB-4EB4-9340-AFC032F79275}"/>
    <hyperlink ref="F14" r:id="rId101" xr:uid="{B019902F-07C2-4765-AA34-350F4B02B851}"/>
    <hyperlink ref="C15" r:id="rId102" xr:uid="{D824771F-0D89-489D-B6E6-92EE765DE606}"/>
    <hyperlink ref="K15" r:id="rId103" xr:uid="{B4D35B50-CCE7-4AFE-A11C-6B1B7F66B1E9}"/>
    <hyperlink ref="D15" r:id="rId104" xr:uid="{46BDCBA4-6BB9-476A-BAE0-BCE5BFD03BB1}"/>
    <hyperlink ref="E15" r:id="rId105" xr:uid="{A00023FC-18B6-4131-B963-E117EB95D2E3}"/>
    <hyperlink ref="I15" r:id="rId106" xr:uid="{5D6467E3-7F1A-40C0-86CA-EFC38D2C0D88}"/>
    <hyperlink ref="H15" r:id="rId107" xr:uid="{82B91700-F4BF-47D0-99AE-91A06AF39474}"/>
    <hyperlink ref="F15" r:id="rId108" xr:uid="{E59EB74D-D223-47F0-A4F9-84FBFAF53FE1}"/>
    <hyperlink ref="G15" r:id="rId109" xr:uid="{9FB40F38-0A3A-4B29-BD69-60FE2432DF82}"/>
    <hyperlink ref="B15" r:id="rId110" xr:uid="{8C932427-A6F9-48CD-8CB1-44AAA722971A}"/>
    <hyperlink ref="B16" r:id="rId111" xr:uid="{F2BFC848-922D-4BEF-89A8-AE291F80DF4C}"/>
    <hyperlink ref="C16" r:id="rId112" xr:uid="{73BD6559-F8D0-4CCC-908E-0B8C7E16FBD7}"/>
    <hyperlink ref="D16" r:id="rId113" xr:uid="{A7CE6AC5-465B-4B9B-B31D-CE08E3A14D95}"/>
    <hyperlink ref="E16" r:id="rId114" xr:uid="{2015DEE7-1DD8-4B20-A3A1-D8F4D25AF557}"/>
    <hyperlink ref="F16" r:id="rId115" xr:uid="{B8E21C62-6AAA-4434-906B-C99C40F3A611}"/>
    <hyperlink ref="G16" r:id="rId116" xr:uid="{759E6747-9ADA-426C-881A-5310C5D06577}"/>
    <hyperlink ref="H16" r:id="rId117" xr:uid="{3F86B0C5-2383-4E91-B42C-644645F459E5}"/>
    <hyperlink ref="I16" r:id="rId118" xr:uid="{55D5A549-F978-4F7B-A3F7-D4D3D88A8C8C}"/>
    <hyperlink ref="K16" r:id="rId119" xr:uid="{D5C1BF07-42FB-4B8B-800B-C3771B367F1F}"/>
    <hyperlink ref="K17" r:id="rId120" xr:uid="{259AB82D-B818-4C3A-A822-49C68F84F240}"/>
    <hyperlink ref="D18" r:id="rId121" xr:uid="{720F77B8-E169-470A-80C9-D145D384B8CD}"/>
    <hyperlink ref="I18" r:id="rId122" xr:uid="{4D51DB4B-065C-425D-AC6B-735324EC5852}"/>
    <hyperlink ref="H18" r:id="rId123" xr:uid="{54E0D689-96A6-4728-B89F-9BC5ED1DD970}"/>
    <hyperlink ref="F18" r:id="rId124" xr:uid="{E6998223-DE98-4BF1-ACFA-7EA8394E8568}"/>
    <hyperlink ref="G18" r:id="rId125" xr:uid="{A3A84656-FA45-476A-BD0B-1A3F67BE6CF6}"/>
    <hyperlink ref="B18" r:id="rId126" xr:uid="{03710614-760F-4C74-8CEE-40C59054F10A}"/>
    <hyperlink ref="C18" r:id="rId127" xr:uid="{DE6BB102-B77E-4119-9BF0-BC4B4B21204F}"/>
    <hyperlink ref="E18" r:id="rId128" xr:uid="{BA61EF4A-CC45-4D05-904A-41A211741598}"/>
    <hyperlink ref="B19" r:id="rId129" xr:uid="{F0DEE072-F2B4-4DCE-A139-2273F0E78AA7}"/>
    <hyperlink ref="C19" r:id="rId130" xr:uid="{EBE504D3-60EF-44DD-89AA-AA21021E94FD}"/>
    <hyperlink ref="K19" r:id="rId131" xr:uid="{3BCE85F8-44F0-417A-959F-3B5AB81ABBE5}"/>
    <hyperlink ref="E19" r:id="rId132" xr:uid="{633CAF72-7BEF-492F-92BC-826D79BD6D8D}"/>
    <hyperlink ref="D19" r:id="rId133" xr:uid="{676ACFCC-79C3-4FB3-BEA2-F30C2C64357D}"/>
    <hyperlink ref="I19" r:id="rId134" xr:uid="{6C0706F7-6026-4B1F-99EE-FAEF2045972C}"/>
    <hyperlink ref="H19" r:id="rId135" xr:uid="{18250C1E-C627-46A0-BAA2-B77726B9321C}"/>
    <hyperlink ref="F19" r:id="rId136" xr:uid="{BF74535D-B750-4915-8906-428567E38D7E}"/>
    <hyperlink ref="G19" r:id="rId137" xr:uid="{07CB2F0C-7F5A-42A3-9E09-FF0323DCC081}"/>
    <hyperlink ref="I20" r:id="rId138" xr:uid="{35AB2591-1FB6-45B4-B81E-207DB5EF303B}"/>
    <hyperlink ref="G20" r:id="rId139" xr:uid="{56C562D6-2E4E-405F-A8DC-D278BC57E2E5}"/>
    <hyperlink ref="C20" r:id="rId140" xr:uid="{D045CDAD-16B6-4079-8804-3DF05CCEACC3}"/>
    <hyperlink ref="F20" r:id="rId141" xr:uid="{D2D2E2B7-E3A3-4E91-85D8-0904D35465AF}"/>
    <hyperlink ref="E20" r:id="rId142" xr:uid="{E12D05BE-0D53-4A67-8ECE-A5404F60163E}"/>
    <hyperlink ref="D20" r:id="rId143" xr:uid="{51B8B5AF-AB4F-4680-B119-0C94BCC9BBAE}"/>
    <hyperlink ref="B20" r:id="rId144" xr:uid="{566FD706-CC65-45E1-888A-549A1206281B}"/>
    <hyperlink ref="G21" r:id="rId145" xr:uid="{F41EE329-44FE-445C-B0DA-3A63FA12F71C}"/>
    <hyperlink ref="G22" r:id="rId146" xr:uid="{32429DC0-A1DB-475D-9555-94F0F7881C8D}"/>
    <hyperlink ref="F21" r:id="rId147" xr:uid="{5C6A7823-3EC9-450D-8DD3-7EC5F6CEF042}"/>
    <hyperlink ref="H21" r:id="rId148" xr:uid="{C24AEABE-3ABD-409E-BBB8-FAA056542907}"/>
    <hyperlink ref="I21" r:id="rId149" xr:uid="{DDD10BCB-1DD1-490D-99AF-383C5E4EDC37}"/>
    <hyperlink ref="D21" r:id="rId150" xr:uid="{7C1680D8-563F-47D2-A0EC-D60685DDA26C}"/>
    <hyperlink ref="E21" r:id="rId151" xr:uid="{383C9E96-3B8A-448A-8D8B-B280D06F58C7}"/>
    <hyperlink ref="C21" r:id="rId152" xr:uid="{84AFC4D8-2A54-41EA-80E8-563D01E29270}"/>
    <hyperlink ref="B21" r:id="rId153" xr:uid="{CA6AD819-C038-41B6-AF4D-D26837D5FFFD}"/>
  </hyperlinks>
  <pageMargins left="0.7" right="0.7" top="0.75" bottom="0.75" header="0.3" footer="0.3"/>
  <tableParts count="1">
    <tablePart r:id="rId15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516D-CA37-4D56-ACA8-A84600E19DDD}">
  <dimension ref="A1:K22"/>
  <sheetViews>
    <sheetView workbookViewId="0">
      <pane ySplit="1" topLeftCell="A2" activePane="bottomLeft" state="frozen"/>
      <selection pane="bottomLeft" activeCell="I20" sqref="I20"/>
    </sheetView>
  </sheetViews>
  <sheetFormatPr defaultRowHeight="16.5"/>
  <cols>
    <col min="1" max="1" width="15.75" style="7" customWidth="1"/>
    <col min="2" max="2" width="13.375" customWidth="1"/>
    <col min="3" max="3" width="14.25" customWidth="1"/>
    <col min="4" max="4" width="13.625" customWidth="1"/>
    <col min="5" max="5" width="13.375" customWidth="1"/>
    <col min="6" max="6" width="12.75" customWidth="1"/>
    <col min="7" max="7" width="13.875" customWidth="1"/>
    <col min="8" max="8" width="13.75" customWidth="1"/>
    <col min="9" max="9" width="12.125" customWidth="1"/>
    <col min="10" max="10" width="12.125" hidden="1" customWidth="1"/>
    <col min="11" max="11" width="18" customWidth="1"/>
  </cols>
  <sheetData>
    <row r="1" spans="1:11" s="8" customFormat="1" ht="21" customHeight="1">
      <c r="A1" s="64" t="s">
        <v>137</v>
      </c>
      <c r="B1" s="64" t="s">
        <v>105</v>
      </c>
      <c r="C1" s="64" t="s">
        <v>65</v>
      </c>
      <c r="D1" s="64" t="s">
        <v>66</v>
      </c>
      <c r="E1" s="64" t="s">
        <v>106</v>
      </c>
      <c r="F1" s="64" t="s">
        <v>67</v>
      </c>
      <c r="G1" s="64" t="s">
        <v>102</v>
      </c>
      <c r="H1" s="64" t="s">
        <v>2</v>
      </c>
      <c r="I1" s="64" t="s">
        <v>68</v>
      </c>
      <c r="J1" s="64" t="s">
        <v>107</v>
      </c>
      <c r="K1" s="64" t="s">
        <v>103</v>
      </c>
    </row>
    <row r="2" spans="1:11" ht="27" customHeight="1">
      <c r="A2" s="19" t="s">
        <v>119</v>
      </c>
      <c r="B2" s="21" t="s">
        <v>18</v>
      </c>
      <c r="C2" s="21" t="s">
        <v>18</v>
      </c>
      <c r="D2" s="21" t="s">
        <v>18</v>
      </c>
      <c r="E2" s="21" t="s">
        <v>18</v>
      </c>
      <c r="F2" s="21" t="s">
        <v>18</v>
      </c>
      <c r="G2" s="21" t="s">
        <v>18</v>
      </c>
      <c r="H2" s="21" t="s">
        <v>18</v>
      </c>
      <c r="I2" s="21" t="s">
        <v>18</v>
      </c>
      <c r="J2" s="46"/>
      <c r="K2" s="19"/>
    </row>
    <row r="3" spans="1:11" ht="27" customHeight="1">
      <c r="A3" s="48" t="s">
        <v>120</v>
      </c>
      <c r="B3" s="65"/>
      <c r="C3" s="65"/>
      <c r="D3" s="65"/>
      <c r="E3" s="65"/>
      <c r="F3" s="66" t="s">
        <v>138</v>
      </c>
      <c r="G3" s="65"/>
      <c r="H3" s="65"/>
      <c r="I3" s="65"/>
      <c r="J3" s="65"/>
      <c r="K3" s="53"/>
    </row>
    <row r="4" spans="1:11" ht="28.5" customHeight="1">
      <c r="A4" s="48" t="s">
        <v>121</v>
      </c>
      <c r="B4" s="21" t="s">
        <v>18</v>
      </c>
      <c r="C4" s="21" t="s">
        <v>18</v>
      </c>
      <c r="D4" s="21" t="s">
        <v>18</v>
      </c>
      <c r="E4" s="21" t="s">
        <v>18</v>
      </c>
      <c r="F4" s="53"/>
      <c r="G4" s="21" t="s">
        <v>18</v>
      </c>
      <c r="H4" s="21" t="s">
        <v>18</v>
      </c>
      <c r="I4" s="21" t="s">
        <v>18</v>
      </c>
      <c r="J4" s="46"/>
      <c r="K4" s="19"/>
    </row>
    <row r="5" spans="1:11" ht="31.5" customHeight="1">
      <c r="A5" s="48" t="s">
        <v>122</v>
      </c>
      <c r="B5" s="21" t="s">
        <v>18</v>
      </c>
      <c r="C5" s="21" t="s">
        <v>18</v>
      </c>
      <c r="D5" s="21" t="s">
        <v>18</v>
      </c>
      <c r="E5" s="21" t="s">
        <v>115</v>
      </c>
      <c r="F5" s="21" t="s">
        <v>18</v>
      </c>
      <c r="G5" s="21" t="s">
        <v>18</v>
      </c>
      <c r="H5" s="21" t="s">
        <v>18</v>
      </c>
      <c r="I5" s="21" t="s">
        <v>18</v>
      </c>
      <c r="J5" s="46"/>
      <c r="K5" s="19"/>
    </row>
    <row r="6" spans="1:11" ht="31.5" customHeight="1">
      <c r="A6" s="48"/>
      <c r="B6" s="21"/>
      <c r="C6" s="21"/>
      <c r="D6" s="21"/>
      <c r="E6" s="21" t="s">
        <v>116</v>
      </c>
      <c r="F6" s="21"/>
      <c r="G6" s="21"/>
      <c r="H6" s="21"/>
      <c r="I6" s="21"/>
      <c r="J6" s="46"/>
      <c r="K6" s="19"/>
    </row>
    <row r="7" spans="1:11" ht="29.25" customHeight="1">
      <c r="A7" s="48" t="s">
        <v>123</v>
      </c>
      <c r="B7" s="21" t="s">
        <v>18</v>
      </c>
      <c r="C7" s="21" t="s">
        <v>18</v>
      </c>
      <c r="D7" s="21" t="s">
        <v>18</v>
      </c>
      <c r="E7" s="21" t="s">
        <v>18</v>
      </c>
      <c r="F7" s="21" t="s">
        <v>18</v>
      </c>
      <c r="G7" s="21" t="s">
        <v>18</v>
      </c>
      <c r="H7" s="21" t="s">
        <v>18</v>
      </c>
      <c r="I7" s="21" t="s">
        <v>18</v>
      </c>
      <c r="J7" s="19"/>
      <c r="K7" s="19"/>
    </row>
    <row r="8" spans="1:11" ht="32.25" customHeight="1">
      <c r="A8" s="48" t="s">
        <v>124</v>
      </c>
      <c r="B8" s="21" t="s">
        <v>18</v>
      </c>
      <c r="C8" s="21" t="s">
        <v>18</v>
      </c>
      <c r="D8" s="21" t="s">
        <v>18</v>
      </c>
      <c r="E8" s="21" t="s">
        <v>18</v>
      </c>
      <c r="F8" s="21" t="s">
        <v>18</v>
      </c>
      <c r="G8" s="21" t="s">
        <v>18</v>
      </c>
      <c r="H8" s="46" t="s">
        <v>18</v>
      </c>
      <c r="I8" s="46" t="s">
        <v>18</v>
      </c>
      <c r="J8" s="19"/>
      <c r="K8" s="19"/>
    </row>
    <row r="9" spans="1:11" ht="31.5" customHeight="1">
      <c r="A9" s="48" t="s">
        <v>125</v>
      </c>
      <c r="B9" s="53"/>
      <c r="C9" s="53"/>
      <c r="D9" s="53"/>
      <c r="E9" s="53"/>
      <c r="F9" s="53" t="s">
        <v>61</v>
      </c>
      <c r="G9" s="53"/>
      <c r="H9" s="53"/>
      <c r="I9" s="53"/>
      <c r="J9" s="53"/>
      <c r="K9" s="53"/>
    </row>
    <row r="10" spans="1:11" ht="31.5" customHeight="1">
      <c r="A10" s="48" t="s">
        <v>126</v>
      </c>
      <c r="B10" s="21" t="s">
        <v>18</v>
      </c>
      <c r="C10" s="60" t="s">
        <v>18</v>
      </c>
      <c r="D10" s="21" t="s">
        <v>18</v>
      </c>
      <c r="E10" s="53"/>
      <c r="F10" s="21" t="s">
        <v>18</v>
      </c>
      <c r="G10" s="21" t="s">
        <v>18</v>
      </c>
      <c r="H10" s="21" t="s">
        <v>18</v>
      </c>
      <c r="I10" s="21" t="s">
        <v>18</v>
      </c>
      <c r="J10" s="19"/>
      <c r="K10" s="19"/>
    </row>
    <row r="11" spans="1:11" ht="31.5" customHeight="1">
      <c r="A11" s="48" t="s">
        <v>127</v>
      </c>
      <c r="B11" s="21" t="s">
        <v>18</v>
      </c>
      <c r="C11" s="21" t="s">
        <v>18</v>
      </c>
      <c r="D11" s="21" t="s">
        <v>18</v>
      </c>
      <c r="E11" s="21" t="s">
        <v>18</v>
      </c>
      <c r="F11" s="21" t="s">
        <v>18</v>
      </c>
      <c r="G11" s="21" t="s">
        <v>18</v>
      </c>
      <c r="H11" s="21" t="s">
        <v>18</v>
      </c>
      <c r="I11" s="21" t="s">
        <v>18</v>
      </c>
      <c r="J11" s="19"/>
      <c r="K11" s="19"/>
    </row>
    <row r="12" spans="1:11" ht="31.5" customHeight="1">
      <c r="A12" s="48" t="s">
        <v>128</v>
      </c>
      <c r="B12" s="21" t="s">
        <v>18</v>
      </c>
      <c r="C12" s="21" t="s">
        <v>18</v>
      </c>
      <c r="D12" s="21" t="s">
        <v>18</v>
      </c>
      <c r="E12" s="21" t="s">
        <v>18</v>
      </c>
      <c r="F12" s="21" t="s">
        <v>18</v>
      </c>
      <c r="G12" s="21" t="s">
        <v>18</v>
      </c>
      <c r="H12" s="21" t="s">
        <v>18</v>
      </c>
      <c r="I12" s="21" t="s">
        <v>18</v>
      </c>
      <c r="J12" s="19"/>
      <c r="K12" s="19"/>
    </row>
    <row r="13" spans="1:11" ht="31.5" customHeight="1">
      <c r="A13" s="48" t="s">
        <v>129</v>
      </c>
      <c r="B13" s="21" t="s">
        <v>18</v>
      </c>
      <c r="C13" s="21" t="s">
        <v>18</v>
      </c>
      <c r="D13" s="21" t="s">
        <v>18</v>
      </c>
      <c r="E13" s="21" t="s">
        <v>18</v>
      </c>
      <c r="F13" s="21" t="s">
        <v>18</v>
      </c>
      <c r="G13" s="21" t="s">
        <v>18</v>
      </c>
      <c r="H13" s="21" t="s">
        <v>18</v>
      </c>
      <c r="I13" s="21" t="s">
        <v>18</v>
      </c>
      <c r="J13" s="19"/>
      <c r="K13" s="19"/>
    </row>
    <row r="14" spans="1:11" ht="31.5" customHeight="1">
      <c r="A14" s="48" t="s">
        <v>130</v>
      </c>
      <c r="B14" s="21" t="s">
        <v>18</v>
      </c>
      <c r="C14" s="21" t="s">
        <v>18</v>
      </c>
      <c r="D14" s="21" t="s">
        <v>18</v>
      </c>
      <c r="E14" s="21" t="s">
        <v>18</v>
      </c>
      <c r="F14" s="21" t="s">
        <v>18</v>
      </c>
      <c r="G14" s="21" t="s">
        <v>18</v>
      </c>
      <c r="H14" s="53"/>
      <c r="I14" s="21" t="s">
        <v>18</v>
      </c>
      <c r="J14" s="19"/>
      <c r="K14" s="19"/>
    </row>
    <row r="15" spans="1:11" ht="30.75" customHeight="1">
      <c r="A15" s="48" t="s">
        <v>131</v>
      </c>
      <c r="B15" s="21" t="s">
        <v>18</v>
      </c>
      <c r="C15" s="21" t="s">
        <v>18</v>
      </c>
      <c r="D15" s="21" t="s">
        <v>18</v>
      </c>
      <c r="E15" s="21" t="s">
        <v>18</v>
      </c>
      <c r="F15" s="21" t="s">
        <v>18</v>
      </c>
      <c r="G15" s="21" t="s">
        <v>18</v>
      </c>
      <c r="H15" s="53"/>
      <c r="I15" s="21" t="s">
        <v>18</v>
      </c>
      <c r="J15" s="19"/>
      <c r="K15" s="19"/>
    </row>
    <row r="16" spans="1:11" ht="30.75" customHeight="1">
      <c r="A16" s="48" t="s">
        <v>132</v>
      </c>
      <c r="B16" s="21" t="s">
        <v>18</v>
      </c>
      <c r="C16" s="21" t="s">
        <v>18</v>
      </c>
      <c r="D16" s="21" t="s">
        <v>18</v>
      </c>
      <c r="E16" s="21" t="s">
        <v>18</v>
      </c>
      <c r="F16" s="21" t="s">
        <v>18</v>
      </c>
      <c r="G16" s="21" t="s">
        <v>18</v>
      </c>
      <c r="H16" s="53"/>
      <c r="I16" s="21" t="s">
        <v>18</v>
      </c>
      <c r="J16" s="19"/>
      <c r="K16" s="19"/>
    </row>
    <row r="17" spans="1:11" ht="30.75" customHeight="1">
      <c r="A17" s="48" t="s">
        <v>133</v>
      </c>
      <c r="B17" s="53"/>
      <c r="C17" s="53"/>
      <c r="D17" s="53"/>
      <c r="E17" s="53"/>
      <c r="F17" s="53" t="s">
        <v>62</v>
      </c>
      <c r="G17" s="53"/>
      <c r="H17" s="53"/>
      <c r="I17" s="53"/>
      <c r="J17" s="53"/>
      <c r="K17" s="53"/>
    </row>
    <row r="18" spans="1:11" ht="30.75" customHeight="1">
      <c r="A18" s="48" t="s">
        <v>134</v>
      </c>
      <c r="B18" s="21" t="s">
        <v>18</v>
      </c>
      <c r="C18" s="21" t="s">
        <v>18</v>
      </c>
      <c r="D18" s="21" t="s">
        <v>18</v>
      </c>
      <c r="E18" s="21" t="s">
        <v>18</v>
      </c>
      <c r="F18" s="21" t="s">
        <v>18</v>
      </c>
      <c r="G18" s="21" t="s">
        <v>18</v>
      </c>
      <c r="H18" s="21" t="s">
        <v>18</v>
      </c>
      <c r="I18" s="21" t="s">
        <v>18</v>
      </c>
      <c r="J18" s="19"/>
      <c r="K18" s="19"/>
    </row>
    <row r="19" spans="1:11" ht="30.75" customHeight="1">
      <c r="A19" s="48" t="s">
        <v>135</v>
      </c>
      <c r="B19" s="21" t="s">
        <v>18</v>
      </c>
      <c r="C19" s="21" t="s">
        <v>18</v>
      </c>
      <c r="D19" s="21" t="s">
        <v>18</v>
      </c>
      <c r="E19" s="21" t="s">
        <v>18</v>
      </c>
      <c r="F19" s="21" t="s">
        <v>18</v>
      </c>
      <c r="G19" s="21" t="s">
        <v>18</v>
      </c>
      <c r="H19" s="21" t="s">
        <v>18</v>
      </c>
      <c r="I19" s="21" t="s">
        <v>18</v>
      </c>
      <c r="J19" s="19"/>
      <c r="K19" s="19"/>
    </row>
    <row r="20" spans="1:11" ht="32.25" customHeight="1">
      <c r="A20" s="48" t="s">
        <v>136</v>
      </c>
      <c r="B20" s="21" t="s">
        <v>18</v>
      </c>
      <c r="C20" s="21" t="s">
        <v>18</v>
      </c>
      <c r="D20" s="21" t="s">
        <v>18</v>
      </c>
      <c r="E20" s="21" t="s">
        <v>18</v>
      </c>
      <c r="F20" s="21" t="s">
        <v>18</v>
      </c>
      <c r="G20" s="21" t="s">
        <v>18</v>
      </c>
      <c r="H20" s="53"/>
      <c r="I20" s="21" t="s">
        <v>18</v>
      </c>
      <c r="J20" s="19"/>
      <c r="K20" s="19"/>
    </row>
    <row r="21" spans="1:11" ht="31.5" customHeight="1">
      <c r="A21"/>
    </row>
    <row r="22" spans="1:11">
      <c r="C22" s="5"/>
      <c r="D22" s="6" t="s">
        <v>58</v>
      </c>
      <c r="E22" s="6"/>
      <c r="F22" s="6"/>
      <c r="G22" s="6"/>
    </row>
  </sheetData>
  <phoneticPr fontId="12" type="noConversion"/>
  <hyperlinks>
    <hyperlink ref="C2" r:id="rId1" xr:uid="{AC2F0970-DAC0-4179-8E75-C989C312F247}"/>
    <hyperlink ref="E2" r:id="rId2" xr:uid="{CA5B627B-05C7-4664-A646-ABBA1975AE26}"/>
    <hyperlink ref="D2" r:id="rId3" xr:uid="{46FA6405-7992-4DB5-8D13-F00A37D4ADB9}"/>
    <hyperlink ref="I2" r:id="rId4" xr:uid="{BEC9AAF6-73BC-4E82-ACB0-754F2D295DC4}"/>
    <hyperlink ref="H2" r:id="rId5" xr:uid="{2ADE7C2E-E244-4C6A-86F2-5B549A46E350}"/>
    <hyperlink ref="F2" r:id="rId6" xr:uid="{D9868271-66A6-42B1-8E03-1727BD1920EF}"/>
    <hyperlink ref="G2" r:id="rId7" xr:uid="{980C05B6-091E-48A7-8E42-A25A0C73D377}"/>
    <hyperlink ref="B2" r:id="rId8" xr:uid="{D463AF7A-FB46-4921-AA1E-B32576BBD6C0}"/>
    <hyperlink ref="C4" r:id="rId9" xr:uid="{8F4C6A61-9F0B-4675-957A-7C2B20B9EDC5}"/>
    <hyperlink ref="B4" r:id="rId10" xr:uid="{77E4FCAB-59C2-42F9-9807-59D2780EC9F1}"/>
    <hyperlink ref="G4" r:id="rId11" xr:uid="{DC02527C-790F-4091-BE71-E20EBAC8AE0F}"/>
    <hyperlink ref="H4" r:id="rId12" xr:uid="{A2174569-8B4F-413F-87D5-C37F9B3204A7}"/>
    <hyperlink ref="I4" r:id="rId13" xr:uid="{DD565007-FFE9-4058-A058-EA2652AE02C5}"/>
    <hyperlink ref="D4" r:id="rId14" xr:uid="{539D3ADF-1225-4FDD-8892-B426208A5D41}"/>
    <hyperlink ref="E4" r:id="rId15" xr:uid="{3618F05F-3BE1-423B-80B8-7EF7E189E06B}"/>
    <hyperlink ref="E5" r:id="rId16" xr:uid="{24ABE888-D1BA-4987-82F6-9562ED45788F}"/>
    <hyperlink ref="H5" r:id="rId17" xr:uid="{7EC7EABA-FBA1-481E-AF37-FC1D81999498}"/>
    <hyperlink ref="B5" r:id="rId18" xr:uid="{C884EC33-EB82-425D-BCA1-65B91AF43CC4}"/>
    <hyperlink ref="D5" r:id="rId19" xr:uid="{CB992D23-8CAE-450B-B648-BAFE362E7E3E}"/>
    <hyperlink ref="I5" r:id="rId20" xr:uid="{99B88881-7DAE-4AAA-BB6E-33BFFB125227}"/>
    <hyperlink ref="C5" r:id="rId21" xr:uid="{A064C861-0E1B-4D6D-A17C-14AE1508879C}"/>
    <hyperlink ref="G5" r:id="rId22" xr:uid="{951195D6-C94B-4EE3-B372-4EE3D319616F}"/>
    <hyperlink ref="F5" r:id="rId23" xr:uid="{3BCFE123-FBF4-4E3A-A3AF-0E0B71CF8101}"/>
    <hyperlink ref="E6" r:id="rId24" xr:uid="{6A9DA727-E93A-4D9E-85C6-E7CEEDDF115A}"/>
    <hyperlink ref="B7" r:id="rId25" xr:uid="{C3F91884-C8F7-4696-9F40-B7A34C397A5F}"/>
    <hyperlink ref="H7" r:id="rId26" xr:uid="{E9757B79-31DD-4BE5-87B8-B55B789C351F}"/>
    <hyperlink ref="E7" r:id="rId27" xr:uid="{A5D258BE-B88D-4E77-9998-03F2BA2E2072}"/>
    <hyperlink ref="D7" r:id="rId28" xr:uid="{D89B0AA1-BD9F-4D46-B117-28AD6BD94F8A}"/>
    <hyperlink ref="I7" r:id="rId29" xr:uid="{4C0E4A9C-6F9E-4656-B048-4D1A18C260A5}"/>
    <hyperlink ref="C7" r:id="rId30" xr:uid="{F447F2EA-43C1-421F-9406-345157479462}"/>
    <hyperlink ref="F7" r:id="rId31" xr:uid="{8A0A5682-C5B3-4EC2-98DA-7C0849878D06}"/>
    <hyperlink ref="G7" r:id="rId32" xr:uid="{BA8C7E83-44AF-4FDA-B94B-AAE6EC910EF9}"/>
    <hyperlink ref="B8" r:id="rId33" xr:uid="{6594E08E-8D84-48DA-8685-A526FBF69652}"/>
    <hyperlink ref="C8" r:id="rId34" xr:uid="{A375478F-D4A8-4AE6-A431-14ED25F85F45}"/>
    <hyperlink ref="E8" r:id="rId35" xr:uid="{2D24A603-5640-4B6C-B2F2-67E1771A36E3}"/>
    <hyperlink ref="D8" r:id="rId36" xr:uid="{5C0CF9A2-FB2D-42E4-8CBE-66DD6B06FD18}"/>
    <hyperlink ref="I8" r:id="rId37" xr:uid="{2C351A68-C547-45E0-8162-4FD47513872E}"/>
    <hyperlink ref="H8" r:id="rId38" xr:uid="{B8D05F21-C099-46B3-A797-3341A21F4B93}"/>
    <hyperlink ref="F8" r:id="rId39" xr:uid="{79EB1F67-C2D1-4AB9-AF51-186F1A779DEB}"/>
    <hyperlink ref="G8" r:id="rId40" xr:uid="{1F3584C8-8011-4BE4-B673-45239E88B551}"/>
    <hyperlink ref="B10" r:id="rId41" xr:uid="{72744E3B-8D93-4246-8376-22D4FB2F5E30}"/>
    <hyperlink ref="H10" r:id="rId42" xr:uid="{8F035EBA-950E-4296-B1DD-097DD165953A}"/>
    <hyperlink ref="I10" r:id="rId43" xr:uid="{11B334A8-1C4F-460A-B791-DBAF436A003B}"/>
    <hyperlink ref="F10" r:id="rId44" xr:uid="{940323E7-5B6E-4194-AAA4-8F598F506051}"/>
    <hyperlink ref="D10" r:id="rId45" xr:uid="{30190DBD-D3CC-4BBA-A1CA-06229B17EF8B}"/>
    <hyperlink ref="C10" r:id="rId46" xr:uid="{9E74162B-CBB6-44E0-9989-588F59884DF5}"/>
    <hyperlink ref="G10" r:id="rId47" xr:uid="{13E29C85-F95C-4B94-9B53-50FB6BCC4D5D}"/>
    <hyperlink ref="B11" r:id="rId48" xr:uid="{F1F7D863-0E55-457F-B7B8-1B86EAFD2722}"/>
    <hyperlink ref="C11" r:id="rId49" xr:uid="{08835AD6-02A6-4E1B-B741-A0F0C6B02AC7}"/>
    <hyperlink ref="E11" r:id="rId50" xr:uid="{F8945138-3AF5-486A-9A5D-51899D7BBF9E}"/>
    <hyperlink ref="D11" r:id="rId51" xr:uid="{7AF8968A-01FF-42F9-A65D-3FCCC68D395B}"/>
    <hyperlink ref="I11" r:id="rId52" xr:uid="{9BAB6490-CDCB-406B-9A07-6656A5FC06C3}"/>
    <hyperlink ref="H11" r:id="rId53" xr:uid="{FACA6D02-7E8C-4B99-9DE7-29D883F8C5CD}"/>
    <hyperlink ref="F11" r:id="rId54" xr:uid="{C78393CA-0E6D-4253-B1F7-5FC6043FA255}"/>
    <hyperlink ref="G11" r:id="rId55" xr:uid="{B92837C5-2A89-4890-9E4F-3D9BE762A04D}"/>
    <hyperlink ref="B12" r:id="rId56" xr:uid="{82039709-14C2-4BE9-ACB6-094F8FFB2200}"/>
    <hyperlink ref="C12" r:id="rId57" xr:uid="{AE720947-6200-43B8-8497-EF349F85ECCE}"/>
    <hyperlink ref="D12" r:id="rId58" xr:uid="{48252262-A190-4733-AC51-D08B1CD7E654}"/>
    <hyperlink ref="E12" r:id="rId59" xr:uid="{02F46EF0-63CE-48AA-A3AE-AC07EFA9F853}"/>
    <hyperlink ref="F12" r:id="rId60" xr:uid="{F44FACB9-C3CA-4E7B-B54A-6EB95F65F19B}"/>
    <hyperlink ref="G12" r:id="rId61" xr:uid="{E97D5A41-E514-4DE2-B4EA-040CA0EA2B1A}"/>
    <hyperlink ref="H12" r:id="rId62" xr:uid="{77007E3A-A7D3-422F-A23C-9CAFEE67D52D}"/>
    <hyperlink ref="I12" r:id="rId63" xr:uid="{74FBFD91-E5BE-4160-A71E-46DA97F5F019}"/>
    <hyperlink ref="C13" r:id="rId64" xr:uid="{DBFDE47E-22F0-4636-8124-D9F9C6A3D724}"/>
    <hyperlink ref="D13" r:id="rId65" xr:uid="{288E5566-300D-454B-B336-5C6A5C79D7F4}"/>
    <hyperlink ref="E13" r:id="rId66" xr:uid="{E8E8767B-6C8F-4FC5-B271-412FA0A080E4}"/>
    <hyperlink ref="F13" r:id="rId67" xr:uid="{9A53652F-8077-45FC-8300-42D88797814F}"/>
    <hyperlink ref="G13" r:id="rId68" xr:uid="{D150F8FF-ED91-4CAA-BB87-331098944B89}"/>
    <hyperlink ref="H13" r:id="rId69" xr:uid="{089E5221-E634-433D-B453-2CF06A06AFCE}"/>
    <hyperlink ref="I13" r:id="rId70" xr:uid="{767107A0-6471-4A0B-B13E-DCA04F104E6F}"/>
    <hyperlink ref="B13" r:id="rId71" xr:uid="{58F09E7C-FE26-4488-9285-E9C13F39D74D}"/>
    <hyperlink ref="B14" r:id="rId72" xr:uid="{3139997C-FFD7-4875-8CDE-5D39EE694EB0}"/>
    <hyperlink ref="C14" r:id="rId73" xr:uid="{377B9944-B0D7-4CE2-83C2-F1169263AF5D}"/>
    <hyperlink ref="D14" r:id="rId74" xr:uid="{B0488457-44C7-440B-A80F-4CB1BB400512}"/>
    <hyperlink ref="E14" r:id="rId75" xr:uid="{1CCC75C5-C971-464E-8F35-34308AC61E5C}"/>
    <hyperlink ref="F14" r:id="rId76" xr:uid="{497BF1BB-D397-4235-81A5-49F7F06AFEA4}"/>
    <hyperlink ref="G14" r:id="rId77" xr:uid="{68464252-A798-4DAD-8CBA-DFD75EC6B07D}"/>
    <hyperlink ref="I14" r:id="rId78" xr:uid="{EACA817E-8D74-49BB-A4C8-A96C972C6076}"/>
    <hyperlink ref="B15" r:id="rId79" xr:uid="{B1C10B00-2301-4E53-A21B-26EE8035C53F}"/>
    <hyperlink ref="E15" r:id="rId80" xr:uid="{C89283CE-465B-4D92-8AAD-D3A46B22F2E0}"/>
    <hyperlink ref="G15" r:id="rId81" xr:uid="{411C463E-16B1-4F5B-8CC4-1EFBE9CD0DEB}"/>
    <hyperlink ref="F15" r:id="rId82" xr:uid="{D7FAC609-76BE-4341-8E15-3C4FD659A56E}"/>
    <hyperlink ref="C15" r:id="rId83" xr:uid="{D14EC36F-F35D-4458-905A-9F47B6A8CAF0}"/>
    <hyperlink ref="I15" r:id="rId84" xr:uid="{8078E062-BFDD-4D70-B89C-CFC07A7D0A7A}"/>
    <hyperlink ref="D15" r:id="rId85" xr:uid="{80DEF9E7-64D3-476F-B214-F8784113882F}"/>
    <hyperlink ref="B16" r:id="rId86" xr:uid="{CC04F2DD-63CC-49DD-AA19-A1AC656DA8E9}"/>
    <hyperlink ref="C16" r:id="rId87" xr:uid="{47FD9C3D-864B-4503-84FA-445E52614980}"/>
    <hyperlink ref="D16" r:id="rId88" xr:uid="{E6EABB2F-1925-48E7-B8D6-BA2B12E88324}"/>
    <hyperlink ref="E16" r:id="rId89" xr:uid="{93FF4C4B-6183-406D-8E0D-7923FA68616A}"/>
    <hyperlink ref="F16" r:id="rId90" xr:uid="{9F8A2E5D-6017-4928-86E3-417F0FB5D722}"/>
    <hyperlink ref="G16" r:id="rId91" xr:uid="{1DC0CC43-EDEE-45A5-AC3D-44CD11EE7A85}"/>
    <hyperlink ref="I16" r:id="rId92" xr:uid="{1E0ABE01-D74F-4DF7-BC98-4530C0089A9F}"/>
    <hyperlink ref="B18" r:id="rId93" xr:uid="{61E95186-C911-43A5-9F7D-3B5C736DF333}"/>
    <hyperlink ref="C18" r:id="rId94" xr:uid="{168A008A-EEBB-48F0-98DE-CC7845B73154}"/>
    <hyperlink ref="D18" r:id="rId95" xr:uid="{E069C423-9A31-49E9-B331-704F070731F2}"/>
    <hyperlink ref="E18" r:id="rId96" xr:uid="{EF48C995-F003-4CF3-88EA-9F854F1920A1}"/>
    <hyperlink ref="F18" r:id="rId97" xr:uid="{DC53F014-0C82-4447-A8E2-8B34B8EC8B6C}"/>
    <hyperlink ref="G18" r:id="rId98" xr:uid="{77F4533A-6791-401A-874D-2F9DC95AF80A}"/>
    <hyperlink ref="H18" r:id="rId99" xr:uid="{5B81AD42-B582-424F-BCCC-DDCB51B75BC6}"/>
    <hyperlink ref="I18" r:id="rId100" xr:uid="{7514D120-6C5F-4F3F-BAB0-C3E0DE826568}"/>
    <hyperlink ref="G19" r:id="rId101" xr:uid="{E2BF3369-A790-48FE-B1B9-69B09669C604}"/>
    <hyperlink ref="F19" r:id="rId102" xr:uid="{DD9881B1-7A53-459C-9AA5-253F2B8A7F43}"/>
    <hyperlink ref="H19" r:id="rId103" xr:uid="{9FA4A006-9F66-4CCE-B680-7504654EE6EA}"/>
    <hyperlink ref="I19" r:id="rId104" xr:uid="{951757C9-B629-449E-9934-E108179DF4B1}"/>
    <hyperlink ref="D19" r:id="rId105" xr:uid="{33346362-0009-4D2B-813D-6A8E2466450E}"/>
    <hyperlink ref="E19" r:id="rId106" xr:uid="{270CF390-48A0-45D5-99D9-A6CDFA4D5BB6}"/>
    <hyperlink ref="B19" r:id="rId107" xr:uid="{DB6194BB-3489-4959-86DB-5E9DA3AD2968}"/>
    <hyperlink ref="C19" r:id="rId108" xr:uid="{4C2BB58C-9E61-4DED-B56E-D1DB40F4FB22}"/>
    <hyperlink ref="B20" r:id="rId109" xr:uid="{D557C95D-D070-487D-8236-CC76678E2D43}"/>
    <hyperlink ref="C20" r:id="rId110" xr:uid="{6C867079-6718-4CD5-B114-B1CE8DD933EC}"/>
    <hyperlink ref="E20" r:id="rId111" xr:uid="{FDB7DD33-B7E3-4007-AEA9-26DEC2341456}"/>
    <hyperlink ref="D20" r:id="rId112" xr:uid="{2E8BD8DE-8B72-498E-888C-9A2ADBAA49A1}"/>
    <hyperlink ref="I20" r:id="rId113" xr:uid="{401D9D0A-F3AB-4043-A1FC-A78D60D027C7}"/>
    <hyperlink ref="F20" r:id="rId114" xr:uid="{99C42383-B2B1-40D3-9D44-66B3296538D2}"/>
    <hyperlink ref="G20" r:id="rId115" xr:uid="{86504E5F-5B32-4333-8AA3-82EDBD9F2C32}"/>
  </hyperlinks>
  <pageMargins left="0.7" right="0.7" top="0.75" bottom="0.75" header="0.3" footer="0.3"/>
  <pageSetup orientation="portrait" r:id="rId116"/>
  <tableParts count="1">
    <tablePart r:id="rId1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BCE2-BBA0-49F6-BA13-54EEE387D70A}">
  <dimension ref="A1:J25"/>
  <sheetViews>
    <sheetView tabSelected="1" workbookViewId="0">
      <pane ySplit="1" topLeftCell="A8" activePane="bottomLeft" state="frozen"/>
      <selection pane="bottomLeft" activeCell="J23" sqref="J23"/>
    </sheetView>
  </sheetViews>
  <sheetFormatPr defaultRowHeight="16.5"/>
  <cols>
    <col min="1" max="1" width="15.75" style="7" customWidth="1"/>
    <col min="2" max="2" width="13.375" customWidth="1"/>
    <col min="3" max="3" width="14.25" customWidth="1"/>
    <col min="4" max="4" width="13.625" customWidth="1"/>
    <col min="5" max="5" width="13.375" customWidth="1"/>
    <col min="6" max="6" width="12.75" customWidth="1"/>
    <col min="7" max="7" width="13.875" customWidth="1"/>
    <col min="8" max="8" width="13.75" customWidth="1"/>
    <col min="9" max="9" width="12.125" customWidth="1"/>
    <col min="10" max="10" width="18" customWidth="1"/>
  </cols>
  <sheetData>
    <row r="1" spans="1:10" s="8" customFormat="1" ht="21" customHeight="1">
      <c r="A1" s="70" t="s">
        <v>139</v>
      </c>
      <c r="B1" s="70" t="s">
        <v>141</v>
      </c>
      <c r="C1" s="70" t="s">
        <v>142</v>
      </c>
      <c r="D1" s="70" t="s">
        <v>143</v>
      </c>
      <c r="E1" s="70" t="s">
        <v>144</v>
      </c>
      <c r="F1" s="70" t="s">
        <v>145</v>
      </c>
      <c r="G1" s="70" t="s">
        <v>195</v>
      </c>
      <c r="H1" s="70" t="s">
        <v>147</v>
      </c>
      <c r="I1" s="70" t="s">
        <v>68</v>
      </c>
      <c r="J1" s="70" t="s">
        <v>103</v>
      </c>
    </row>
    <row r="2" spans="1:10" ht="27" customHeight="1">
      <c r="A2" s="71" t="s">
        <v>150</v>
      </c>
      <c r="B2" s="65"/>
      <c r="C2" s="21" t="s">
        <v>18</v>
      </c>
      <c r="D2" s="65"/>
      <c r="E2" s="65"/>
      <c r="F2" s="21" t="s">
        <v>18</v>
      </c>
      <c r="G2" s="21" t="s">
        <v>18</v>
      </c>
      <c r="H2" s="21" t="s">
        <v>18</v>
      </c>
      <c r="I2" s="21" t="s">
        <v>18</v>
      </c>
      <c r="J2" s="53"/>
    </row>
    <row r="3" spans="1:10" ht="27" customHeight="1">
      <c r="A3" s="71" t="s">
        <v>152</v>
      </c>
      <c r="B3" s="65"/>
      <c r="C3" s="21" t="s">
        <v>18</v>
      </c>
      <c r="D3" s="65"/>
      <c r="E3" s="65"/>
      <c r="F3" s="21" t="s">
        <v>18</v>
      </c>
      <c r="G3" s="21" t="s">
        <v>18</v>
      </c>
      <c r="H3" s="21" t="s">
        <v>18</v>
      </c>
      <c r="I3" s="21" t="s">
        <v>18</v>
      </c>
      <c r="J3" s="21" t="s">
        <v>197</v>
      </c>
    </row>
    <row r="4" spans="1:10" ht="28.5" customHeight="1">
      <c r="A4" s="72" t="s">
        <v>154</v>
      </c>
      <c r="B4" s="65"/>
      <c r="C4" s="65"/>
      <c r="D4" s="65"/>
      <c r="E4" s="73" t="s">
        <v>191</v>
      </c>
      <c r="F4" s="65"/>
      <c r="G4" s="65"/>
      <c r="H4" s="65"/>
      <c r="I4" s="65"/>
      <c r="J4" s="53"/>
    </row>
    <row r="5" spans="1:10" ht="31.5" customHeight="1">
      <c r="A5" s="72" t="s">
        <v>156</v>
      </c>
      <c r="B5" s="65"/>
      <c r="C5" s="65"/>
      <c r="D5" s="65"/>
      <c r="E5" s="73" t="s">
        <v>192</v>
      </c>
      <c r="F5" s="65"/>
      <c r="G5" s="65"/>
      <c r="H5" s="65"/>
      <c r="I5" s="65"/>
      <c r="J5" s="53"/>
    </row>
    <row r="6" spans="1:10" ht="31.5" customHeight="1">
      <c r="A6" s="72" t="s">
        <v>158</v>
      </c>
      <c r="B6" s="65"/>
      <c r="C6" s="65"/>
      <c r="D6" s="65"/>
      <c r="E6" s="73" t="s">
        <v>193</v>
      </c>
      <c r="F6" s="65"/>
      <c r="G6" s="65"/>
      <c r="H6" s="65"/>
      <c r="I6" s="65"/>
      <c r="J6" s="53"/>
    </row>
    <row r="7" spans="1:10" ht="29.25" customHeight="1">
      <c r="A7" s="71" t="s">
        <v>160</v>
      </c>
      <c r="B7" s="21" t="s">
        <v>18</v>
      </c>
      <c r="C7" s="21" t="s">
        <v>18</v>
      </c>
      <c r="D7" s="65"/>
      <c r="E7" s="65"/>
      <c r="F7" s="21" t="s">
        <v>18</v>
      </c>
      <c r="G7" s="21" t="s">
        <v>18</v>
      </c>
      <c r="H7" s="21" t="s">
        <v>18</v>
      </c>
      <c r="I7" s="21" t="s">
        <v>18</v>
      </c>
      <c r="J7" s="46" t="s">
        <v>196</v>
      </c>
    </row>
    <row r="8" spans="1:10" ht="32.25" customHeight="1">
      <c r="A8" s="72" t="s">
        <v>162</v>
      </c>
      <c r="B8" s="65"/>
      <c r="C8" s="65"/>
      <c r="D8" s="65"/>
      <c r="E8" s="73" t="s">
        <v>194</v>
      </c>
      <c r="F8" s="65"/>
      <c r="G8" s="65"/>
      <c r="H8" s="65"/>
      <c r="I8" s="65"/>
      <c r="J8" s="53"/>
    </row>
    <row r="9" spans="1:10" ht="31.5" customHeight="1">
      <c r="A9" s="71" t="s">
        <v>164</v>
      </c>
      <c r="B9" s="65"/>
      <c r="C9" s="46" t="s">
        <v>18</v>
      </c>
      <c r="D9" s="65"/>
      <c r="E9" s="65"/>
      <c r="F9" s="46" t="s">
        <v>18</v>
      </c>
      <c r="G9" s="46" t="s">
        <v>18</v>
      </c>
      <c r="H9" s="46" t="s">
        <v>18</v>
      </c>
      <c r="I9" s="46" t="s">
        <v>18</v>
      </c>
      <c r="J9" s="53"/>
    </row>
    <row r="10" spans="1:10" ht="31.5" customHeight="1">
      <c r="A10" s="71" t="s">
        <v>166</v>
      </c>
      <c r="B10" s="21" t="s">
        <v>198</v>
      </c>
      <c r="C10" s="21" t="s">
        <v>198</v>
      </c>
      <c r="D10" s="65"/>
      <c r="E10" s="65"/>
      <c r="F10" s="21" t="s">
        <v>18</v>
      </c>
      <c r="G10" s="21" t="s">
        <v>18</v>
      </c>
      <c r="H10" s="21" t="s">
        <v>18</v>
      </c>
      <c r="I10" s="21" t="s">
        <v>18</v>
      </c>
      <c r="J10" s="46" t="s">
        <v>196</v>
      </c>
    </row>
    <row r="11" spans="1:10" ht="31.5" customHeight="1">
      <c r="A11" s="71" t="s">
        <v>168</v>
      </c>
      <c r="B11" s="21" t="s">
        <v>18</v>
      </c>
      <c r="C11" s="21" t="s">
        <v>18</v>
      </c>
      <c r="D11" s="65"/>
      <c r="E11" s="65"/>
      <c r="F11" s="21" t="s">
        <v>18</v>
      </c>
      <c r="G11" s="21" t="s">
        <v>18</v>
      </c>
      <c r="H11" s="21" t="s">
        <v>18</v>
      </c>
      <c r="I11" s="21" t="s">
        <v>18</v>
      </c>
      <c r="J11" s="46" t="s">
        <v>196</v>
      </c>
    </row>
    <row r="12" spans="1:10" ht="31.5" customHeight="1">
      <c r="A12" s="71" t="s">
        <v>170</v>
      </c>
      <c r="B12" s="21" t="s">
        <v>18</v>
      </c>
      <c r="C12" s="21" t="s">
        <v>18</v>
      </c>
      <c r="D12" s="65"/>
      <c r="E12" s="65"/>
      <c r="F12" s="21" t="s">
        <v>18</v>
      </c>
      <c r="G12" s="21" t="s">
        <v>18</v>
      </c>
      <c r="H12" s="21" t="s">
        <v>18</v>
      </c>
      <c r="I12" s="21" t="s">
        <v>18</v>
      </c>
      <c r="J12" s="46" t="s">
        <v>196</v>
      </c>
    </row>
    <row r="13" spans="1:10" ht="31.5" customHeight="1">
      <c r="A13" s="71" t="s">
        <v>172</v>
      </c>
      <c r="B13" s="21" t="s">
        <v>18</v>
      </c>
      <c r="C13" s="21" t="s">
        <v>18</v>
      </c>
      <c r="D13" s="65"/>
      <c r="E13" s="65"/>
      <c r="F13" s="21" t="s">
        <v>18</v>
      </c>
      <c r="G13" s="21" t="s">
        <v>18</v>
      </c>
      <c r="H13" s="21" t="s">
        <v>18</v>
      </c>
      <c r="I13" s="21" t="s">
        <v>18</v>
      </c>
      <c r="J13" s="46" t="s">
        <v>197</v>
      </c>
    </row>
    <row r="14" spans="1:10" ht="31.5" customHeight="1">
      <c r="A14" s="71" t="s">
        <v>174</v>
      </c>
      <c r="B14" s="21" t="s">
        <v>18</v>
      </c>
      <c r="C14" s="21" t="s">
        <v>18</v>
      </c>
      <c r="D14" s="65"/>
      <c r="E14" s="65"/>
      <c r="F14" s="21" t="s">
        <v>18</v>
      </c>
      <c r="G14" s="21" t="s">
        <v>18</v>
      </c>
      <c r="H14" s="21" t="s">
        <v>18</v>
      </c>
      <c r="I14" s="21" t="s">
        <v>18</v>
      </c>
      <c r="J14" s="19" t="s">
        <v>200</v>
      </c>
    </row>
    <row r="15" spans="1:10" ht="30.75" customHeight="1">
      <c r="A15" s="71" t="s">
        <v>176</v>
      </c>
      <c r="B15" s="21" t="s">
        <v>18</v>
      </c>
      <c r="C15" s="21" t="s">
        <v>18</v>
      </c>
      <c r="D15" s="65"/>
      <c r="E15" s="65"/>
      <c r="F15" s="21" t="s">
        <v>18</v>
      </c>
      <c r="G15" s="21" t="s">
        <v>18</v>
      </c>
      <c r="H15" s="46" t="s">
        <v>18</v>
      </c>
      <c r="I15" s="21" t="s">
        <v>18</v>
      </c>
      <c r="J15" s="19" t="s">
        <v>199</v>
      </c>
    </row>
    <row r="16" spans="1:10" ht="30.75" customHeight="1">
      <c r="A16" s="71" t="s">
        <v>178</v>
      </c>
      <c r="B16" s="65"/>
      <c r="C16" s="21" t="s">
        <v>18</v>
      </c>
      <c r="D16" s="65"/>
      <c r="E16" s="65"/>
      <c r="F16" s="21" t="s">
        <v>18</v>
      </c>
      <c r="G16" s="21" t="s">
        <v>18</v>
      </c>
      <c r="H16" s="21" t="s">
        <v>18</v>
      </c>
      <c r="I16" s="21" t="s">
        <v>18</v>
      </c>
      <c r="J16" s="19" t="s">
        <v>200</v>
      </c>
    </row>
    <row r="17" spans="1:10" ht="30.75" customHeight="1">
      <c r="A17" s="71" t="s">
        <v>180</v>
      </c>
      <c r="B17" s="53"/>
      <c r="C17" s="46" t="s">
        <v>18</v>
      </c>
      <c r="D17" s="65"/>
      <c r="E17" s="65"/>
      <c r="F17" s="46" t="s">
        <v>18</v>
      </c>
      <c r="G17" s="46" t="s">
        <v>18</v>
      </c>
      <c r="H17" s="46" t="s">
        <v>18</v>
      </c>
      <c r="I17" s="46" t="s">
        <v>18</v>
      </c>
      <c r="J17" s="19" t="s">
        <v>199</v>
      </c>
    </row>
    <row r="18" spans="1:10" ht="30.75" customHeight="1">
      <c r="A18" s="71" t="s">
        <v>182</v>
      </c>
      <c r="B18" s="21" t="s">
        <v>18</v>
      </c>
      <c r="C18" s="21" t="s">
        <v>18</v>
      </c>
      <c r="D18" s="65"/>
      <c r="E18" s="65"/>
      <c r="F18" s="21" t="s">
        <v>18</v>
      </c>
      <c r="G18" s="21" t="s">
        <v>18</v>
      </c>
      <c r="H18" s="21" t="s">
        <v>18</v>
      </c>
      <c r="I18" s="21" t="s">
        <v>18</v>
      </c>
      <c r="J18" s="46" t="s">
        <v>197</v>
      </c>
    </row>
    <row r="19" spans="1:10" ht="30.75" customHeight="1">
      <c r="A19" s="71" t="s">
        <v>184</v>
      </c>
      <c r="B19" s="21" t="s">
        <v>18</v>
      </c>
      <c r="C19" s="21" t="s">
        <v>201</v>
      </c>
      <c r="D19" s="65"/>
      <c r="E19" s="65"/>
      <c r="F19" s="21" t="s">
        <v>18</v>
      </c>
      <c r="G19" s="21" t="s">
        <v>18</v>
      </c>
      <c r="H19" s="21" t="s">
        <v>198</v>
      </c>
      <c r="I19" s="21" t="s">
        <v>18</v>
      </c>
      <c r="J19" s="65"/>
    </row>
    <row r="20" spans="1:10" ht="30.75" customHeight="1">
      <c r="A20" s="19"/>
      <c r="B20" s="65"/>
      <c r="C20" s="21" t="s">
        <v>202</v>
      </c>
      <c r="D20" s="65"/>
      <c r="E20" s="65"/>
      <c r="F20" s="65"/>
      <c r="G20" s="65"/>
      <c r="H20" s="65"/>
      <c r="I20" s="65"/>
      <c r="J20" s="53"/>
    </row>
    <row r="21" spans="1:10" ht="32.25" customHeight="1">
      <c r="A21" s="71" t="s">
        <v>186</v>
      </c>
      <c r="B21" s="21" t="s">
        <v>203</v>
      </c>
      <c r="C21" s="21" t="s">
        <v>17</v>
      </c>
      <c r="D21" s="65"/>
      <c r="E21" s="65"/>
      <c r="F21" s="21" t="s">
        <v>18</v>
      </c>
      <c r="G21" s="74"/>
      <c r="H21" s="21" t="s">
        <v>18</v>
      </c>
      <c r="I21" s="21" t="s">
        <v>18</v>
      </c>
      <c r="J21" s="53"/>
    </row>
    <row r="22" spans="1:10" ht="32.25" customHeight="1">
      <c r="A22" s="19"/>
      <c r="B22" s="65"/>
      <c r="C22" s="21" t="s">
        <v>19</v>
      </c>
      <c r="D22" s="65"/>
      <c r="E22" s="65"/>
      <c r="F22" s="65"/>
      <c r="G22" s="65"/>
      <c r="H22" s="65"/>
      <c r="I22" s="65"/>
      <c r="J22" s="53"/>
    </row>
    <row r="23" spans="1:10" ht="31.5" customHeight="1">
      <c r="A23" s="69" t="s">
        <v>188</v>
      </c>
      <c r="B23" s="75" t="s">
        <v>18</v>
      </c>
      <c r="C23" s="15" t="s">
        <v>18</v>
      </c>
      <c r="D23" s="65"/>
      <c r="E23" s="65"/>
      <c r="F23" s="56"/>
      <c r="G23" s="75" t="s">
        <v>18</v>
      </c>
      <c r="H23" s="75" t="s">
        <v>18</v>
      </c>
      <c r="I23" s="75" t="s">
        <v>18</v>
      </c>
      <c r="J23" s="75" t="s">
        <v>196</v>
      </c>
    </row>
    <row r="24" spans="1:10" ht="31.5" customHeight="1"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C25" s="5"/>
      <c r="D25" s="6" t="s">
        <v>58</v>
      </c>
      <c r="E25" s="6"/>
      <c r="F25" s="6"/>
      <c r="G25" s="6"/>
    </row>
  </sheetData>
  <phoneticPr fontId="12" type="noConversion"/>
  <hyperlinks>
    <hyperlink ref="C2" r:id="rId1" xr:uid="{1A1A3DAE-92BE-41A2-8AB7-AFAAE4266236}"/>
    <hyperlink ref="H2" r:id="rId2" xr:uid="{21E72809-CE58-42D8-9C52-12179BBD58CF}"/>
    <hyperlink ref="I2" r:id="rId3" xr:uid="{E0B4EE1B-695D-4601-8F06-2A198797ADEA}"/>
    <hyperlink ref="F2" r:id="rId4" xr:uid="{4C50BF18-B637-4D98-99D4-38AE08BD6C95}"/>
    <hyperlink ref="G2" r:id="rId5" xr:uid="{4AC71660-5E56-4178-A41E-8A6339776A98}"/>
    <hyperlink ref="F3:J3" r:id="rId6" display="Watch" xr:uid="{A89397F7-8EA4-4DC7-9A79-D28E15B4CB34}"/>
    <hyperlink ref="C3" r:id="rId7" xr:uid="{B113A75D-4D22-462D-8C34-DB46CC26CB20}"/>
    <hyperlink ref="J3" r:id="rId8" xr:uid="{1908BC10-DAEB-46FE-82E0-42A9103029E7}"/>
    <hyperlink ref="H3" r:id="rId9" xr:uid="{F9BE54B1-0236-4D81-9BB4-405B2EFA2DE2}"/>
    <hyperlink ref="I3" r:id="rId10" xr:uid="{AAAEFC3E-CC07-4968-9B04-D01C1C3BEFF5}"/>
    <hyperlink ref="F3" r:id="rId11" xr:uid="{BE66BD83-7F61-43FB-9492-FE1E19905DF2}"/>
    <hyperlink ref="G3" r:id="rId12" xr:uid="{6466CA5E-9C2F-4549-8C0E-AD88776F2740}"/>
    <hyperlink ref="C7" r:id="rId13" xr:uid="{D2E0E17A-160A-45E2-854B-2990C8D7D2A9}"/>
    <hyperlink ref="B7" r:id="rId14" xr:uid="{FC1D0127-449D-4E9D-B4A1-B0EBBFA672A2}"/>
    <hyperlink ref="J7" r:id="rId15" xr:uid="{8A4CA747-ED8F-4296-85BB-1F3E106CB18B}"/>
    <hyperlink ref="G7" r:id="rId16" xr:uid="{D6812DEB-B3E8-404D-ADEA-B479D6A51123}"/>
    <hyperlink ref="H7" r:id="rId17" xr:uid="{72821797-AAE5-4E88-AD10-7919E7AA2963}"/>
    <hyperlink ref="F7" r:id="rId18" xr:uid="{A77AF484-E529-4C5A-8584-A133450FA959}"/>
    <hyperlink ref="I7" r:id="rId19" xr:uid="{C6B34C41-AB2C-4FB2-8E7D-D7742074C467}"/>
    <hyperlink ref="G9" r:id="rId20" xr:uid="{4B954168-1680-40B2-9E79-4A1195AD8270}"/>
    <hyperlink ref="F9" r:id="rId21" xr:uid="{78B3CDB7-6A66-4D4A-A9F6-4D1BA35BFAE8}"/>
    <hyperlink ref="I9" r:id="rId22" xr:uid="{8A3B8EA5-A7FE-4AC3-A344-6F32551FD58C}"/>
    <hyperlink ref="H9" r:id="rId23" xr:uid="{F51ECC88-A513-4139-A524-A834F6AEF824}"/>
    <hyperlink ref="C9" r:id="rId24" xr:uid="{D72EC3EA-5C7D-4FBA-8F09-F8078C9D4A27}"/>
    <hyperlink ref="C10" r:id="rId25" xr:uid="{E8C8CE6C-5ABB-4E76-AED2-0BA91DCC2273}"/>
    <hyperlink ref="J10" r:id="rId26" xr:uid="{E6AA926F-44BA-4254-8A04-3C802013770F}"/>
    <hyperlink ref="B10" r:id="rId27" xr:uid="{5E890DCE-1C79-47A9-9039-310A9C56AD26}"/>
    <hyperlink ref="F10" r:id="rId28" xr:uid="{584CC522-BDA7-432A-82D8-9C59F50C5A6A}"/>
    <hyperlink ref="G10" r:id="rId29" xr:uid="{99802546-2E90-47F7-A0B2-7DFE0C60351B}"/>
    <hyperlink ref="H10" r:id="rId30" xr:uid="{50B621DF-55B4-42BF-B0E2-1B01D7B21C31}"/>
    <hyperlink ref="I10" r:id="rId31" xr:uid="{8B4A51AF-14BD-4BF3-A3B1-E2959BB71B1F}"/>
    <hyperlink ref="C11" r:id="rId32" xr:uid="{A66947FB-E34D-4B54-8F62-F43715A3FB15}"/>
    <hyperlink ref="B11" r:id="rId33" xr:uid="{B2F0713B-B97D-4FA5-BB01-C7C589E7044F}"/>
    <hyperlink ref="J11" r:id="rId34" xr:uid="{3DDAB45A-F80B-4017-AFFA-7376114F257A}"/>
    <hyperlink ref="G11" r:id="rId35" xr:uid="{DF2F5FF5-F07A-40F2-8C7C-3EA81165B44C}"/>
    <hyperlink ref="H11" r:id="rId36" xr:uid="{40DBDB12-65C5-4391-BB1B-8E6018E8CB21}"/>
    <hyperlink ref="I11" r:id="rId37" xr:uid="{69FBE2DF-577A-47A9-B242-E464380C8BEC}"/>
    <hyperlink ref="F11" r:id="rId38" xr:uid="{D00EEED5-E813-4D9F-9107-CC29B66148DD}"/>
    <hyperlink ref="H12" r:id="rId39" xr:uid="{5E58912F-2796-4766-A44C-53564927FC76}"/>
    <hyperlink ref="I12" r:id="rId40" xr:uid="{63BB32E8-6BFE-41E7-B618-FE123B8F41CA}"/>
    <hyperlink ref="G12" r:id="rId41" xr:uid="{714B61CC-7942-4254-969C-D9AA654D4074}"/>
    <hyperlink ref="F12" r:id="rId42" xr:uid="{53D96826-A9FD-4981-AE1D-DC790206B2A3}"/>
    <hyperlink ref="C12" r:id="rId43" xr:uid="{E624BC8A-981C-4739-925C-A2CDBDB87669}"/>
    <hyperlink ref="J12" r:id="rId44" xr:uid="{4F859761-A0DD-468E-A1F8-C12066D66BA2}"/>
    <hyperlink ref="B12" r:id="rId45" xr:uid="{CBED9DF9-A7D7-4CA9-9526-A512CEB033CA}"/>
    <hyperlink ref="C13" r:id="rId46" xr:uid="{565B9D1A-3C6E-4A92-9B2E-6D8C34BD0917}"/>
    <hyperlink ref="B13" r:id="rId47" xr:uid="{903F7670-ECD4-41A5-A928-627044D00D98}"/>
    <hyperlink ref="F13" r:id="rId48" xr:uid="{EF9ED3F5-D2C5-4A46-A7A6-4055C3388898}"/>
    <hyperlink ref="G13" r:id="rId49" xr:uid="{5181F0C2-3D67-451A-8DDE-19528CA8E0D7}"/>
    <hyperlink ref="H13" r:id="rId50" xr:uid="{5E7D09DC-6106-46BC-984B-1E9483109E24}"/>
    <hyperlink ref="I13" r:id="rId51" xr:uid="{A8764E24-44DB-4AB5-A3B4-A1D38ED8FBB2}"/>
    <hyperlink ref="J13" r:id="rId52" xr:uid="{497A4578-64DB-471F-AA88-5BA1003052F8}"/>
    <hyperlink ref="B14" r:id="rId53" xr:uid="{7A3151CD-FC27-4286-B847-35F36DED3D3C}"/>
    <hyperlink ref="C14" r:id="rId54" xr:uid="{745E789B-0368-4A98-A84D-AB4E1BAC7FBA}"/>
    <hyperlink ref="H14" r:id="rId55" xr:uid="{0CCA894A-81D0-4460-872B-6A2595F7354D}"/>
    <hyperlink ref="I14" r:id="rId56" xr:uid="{09EF4E00-9214-496F-8EC8-14A764FF64C1}"/>
    <hyperlink ref="F14" r:id="rId57" xr:uid="{3DA508B7-43FA-4B5D-BB09-A3F27CE36999}"/>
    <hyperlink ref="G14" r:id="rId58" xr:uid="{F43ECCDD-BA33-40AA-AC19-F5BD13854CBE}"/>
    <hyperlink ref="B15" r:id="rId59" xr:uid="{D744A7CF-ADA4-4056-AC9F-41837571309A}"/>
    <hyperlink ref="C15" r:id="rId60" xr:uid="{3FF2AA57-C4EE-414C-8D80-6FDEFA0D33F4}"/>
    <hyperlink ref="F15" r:id="rId61" xr:uid="{DABAD0B4-E32F-4E71-8B05-A47145F2503E}"/>
    <hyperlink ref="G15" r:id="rId62" xr:uid="{59474CF2-CFB7-4208-85FE-8032E03BCF29}"/>
    <hyperlink ref="H15" r:id="rId63" xr:uid="{2897EFD9-DAAE-4158-B121-04B7B4E8BA3E}"/>
    <hyperlink ref="I15" r:id="rId64" xr:uid="{A6C995F4-43BF-44CE-BDE1-468397BE6F6D}"/>
    <hyperlink ref="I16" r:id="rId65" xr:uid="{E8A0FBB5-434F-486F-826B-9D10CF2668BB}"/>
    <hyperlink ref="H16" r:id="rId66" xr:uid="{9222A2AD-ECCB-4F59-89A0-628C68009311}"/>
    <hyperlink ref="F16" r:id="rId67" xr:uid="{C1DE45FF-8C07-45F4-A06F-D3516DD50AA6}"/>
    <hyperlink ref="C16" r:id="rId68" xr:uid="{7B38660A-80CA-40E0-9AF2-F4E1C622CF6A}"/>
    <hyperlink ref="G16" r:id="rId69" xr:uid="{D5400D2A-6502-4F09-B937-2BD29093925F}"/>
    <hyperlink ref="F17" r:id="rId70" xr:uid="{89271354-0A04-435A-8E04-4D0ECC7A8ECE}"/>
    <hyperlink ref="G17" r:id="rId71" xr:uid="{84DD454C-2F51-4E39-AD70-51176C678076}"/>
    <hyperlink ref="H17" r:id="rId72" xr:uid="{25F1A925-406B-488D-BE06-7B2405944178}"/>
    <hyperlink ref="I17" r:id="rId73" xr:uid="{CBDCD947-CE55-43F9-B9EE-4CF3F5B9B8EF}"/>
    <hyperlink ref="C17" r:id="rId74" xr:uid="{B1331B6A-A24F-4FFC-BC4A-5B27735BC8BD}"/>
    <hyperlink ref="J18" r:id="rId75" xr:uid="{5E9C05E0-EC6E-4F04-A197-DD6177B57B25}"/>
    <hyperlink ref="B19" r:id="rId76" xr:uid="{27F0B561-E4E4-4096-B246-17802DF11E85}"/>
    <hyperlink ref="C19" r:id="rId77" xr:uid="{D314EE28-5F24-465B-85A5-25CA01AE6C9B}"/>
    <hyperlink ref="C20" r:id="rId78" xr:uid="{235160B9-2E70-4789-95A8-8E5760A793A2}"/>
    <hyperlink ref="H19" r:id="rId79" xr:uid="{29AF5339-9AD0-478F-815D-49912596AD2A}"/>
    <hyperlink ref="I19" r:id="rId80" xr:uid="{0B91A904-A063-47EA-A1BD-C165AF9E27B3}"/>
    <hyperlink ref="F19" r:id="rId81" xr:uid="{5759AD3E-1E01-42FC-8D06-EF1741550F67}"/>
    <hyperlink ref="G19" r:id="rId82" xr:uid="{CF723ED2-7D71-48F3-B048-7604A5168C25}"/>
    <hyperlink ref="C21" r:id="rId83" xr:uid="{091A11F7-8449-47F1-A235-A98807C3CDE4}"/>
    <hyperlink ref="H21" r:id="rId84" xr:uid="{BC7FEA91-6EC4-4CCB-A9F1-AA89BB1D1ABB}"/>
    <hyperlink ref="I21" r:id="rId85" xr:uid="{7F3BE840-072B-4876-9E95-557C9C6D72AB}"/>
    <hyperlink ref="F21" r:id="rId86" xr:uid="{5C5592F1-406E-4050-ADD0-E0CD110D3977}"/>
    <hyperlink ref="C22" r:id="rId87" xr:uid="{F991B163-4845-4FE4-B94F-F906950FD687}"/>
    <hyperlink ref="B21" r:id="rId88" xr:uid="{3059D453-ED1E-412F-BEA3-FC26AC3A2E7C}"/>
    <hyperlink ref="J23" r:id="rId89" xr:uid="{6FAFD342-F9A7-4723-BC7A-9A053FD5EA47}"/>
    <hyperlink ref="B23" r:id="rId90" xr:uid="{775917EA-AC4F-43FE-B348-1AABF504760B}"/>
    <hyperlink ref="C23" r:id="rId91" xr:uid="{D15DE7B1-3579-4A99-8673-0309121FD7CC}"/>
    <hyperlink ref="G23" r:id="rId92" xr:uid="{F0AD46E1-FA1D-4450-8072-B454A1A564C9}"/>
    <hyperlink ref="H23" r:id="rId93" xr:uid="{5A947DF8-3925-416B-BDDF-4F792626DC6F}"/>
    <hyperlink ref="I23" r:id="rId94" xr:uid="{36FD4FF1-16BA-4D93-BCDF-CB3EE0585601}"/>
  </hyperlinks>
  <pageMargins left="0.7" right="0.7" top="0.75" bottom="0.75" header="0.3" footer="0.3"/>
  <pageSetup orientation="portrait" r:id="rId95"/>
  <tableParts count="1">
    <tablePart r:id="rId9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1782-CA95-456C-9174-CBA85B2469A1}">
  <dimension ref="A1:G161"/>
  <sheetViews>
    <sheetView workbookViewId="0">
      <pane ySplit="1" topLeftCell="A155" activePane="bottomLeft" state="frozen"/>
      <selection activeCell="G2" sqref="G2:G161"/>
      <selection pane="bottomLeft" activeCell="G2" sqref="G2:G161"/>
    </sheetView>
  </sheetViews>
  <sheetFormatPr defaultRowHeight="16.5"/>
  <cols>
    <col min="1" max="1" width="9" style="3"/>
    <col min="2" max="3" width="13.625" style="3" customWidth="1"/>
    <col min="4" max="4" width="20.375" style="3" customWidth="1"/>
    <col min="5" max="5" width="9" style="3"/>
    <col min="6" max="6" width="46.75" customWidth="1"/>
    <col min="7" max="7" width="29.75" customWidth="1"/>
  </cols>
  <sheetData>
    <row r="1" spans="1:7">
      <c r="A1" s="2" t="s">
        <v>29</v>
      </c>
      <c r="B1" s="2" t="s">
        <v>30</v>
      </c>
      <c r="C1" s="2" t="s">
        <v>32</v>
      </c>
      <c r="D1" s="2" t="s">
        <v>31</v>
      </c>
      <c r="E1" s="2" t="s">
        <v>33</v>
      </c>
      <c r="F1" s="2" t="s">
        <v>36</v>
      </c>
      <c r="G1" s="2" t="s">
        <v>41</v>
      </c>
    </row>
    <row r="2" spans="1:7">
      <c r="A2" s="3" t="s">
        <v>140</v>
      </c>
      <c r="B2" s="3" t="s">
        <v>141</v>
      </c>
      <c r="C2" s="3" t="s">
        <v>69</v>
      </c>
      <c r="D2" s="4">
        <v>45913</v>
      </c>
      <c r="E2" s="3" t="s">
        <v>34</v>
      </c>
      <c r="F2" t="str">
        <f>CONCATENATE(A2,"\",B2,"\",C2," ",TEXT(D2,"yyyymmdd"))</f>
        <v>114-1\道教研究專題\W01 20250913</v>
      </c>
      <c r="G2" t="str">
        <f>CONCATENATE(C2," ",TEXT(D2,"yyyy/mm/dd"))</f>
        <v>W01 2025/09/13</v>
      </c>
    </row>
    <row r="3" spans="1:7">
      <c r="A3" s="3" t="str">
        <f>A2</f>
        <v>114-1</v>
      </c>
      <c r="B3" s="3" t="s">
        <v>142</v>
      </c>
      <c r="C3" s="3" t="str">
        <f>C2</f>
        <v>W01</v>
      </c>
      <c r="D3" s="4">
        <f>D2</f>
        <v>45913</v>
      </c>
      <c r="E3" s="3" t="s">
        <v>34</v>
      </c>
      <c r="F3" t="str">
        <f t="shared" ref="F3:F66" si="0">CONCATENATE(A3,"\",B3,"\",C3," ",TEXT(D3,"yyyymmdd"))</f>
        <v>114-1\奇門遁甲\W01 20250913</v>
      </c>
      <c r="G3" t="str">
        <f t="shared" ref="G3:G66" si="1">CONCATENATE(C3," ",TEXT(D3,"yyyy/mm/dd"))</f>
        <v>W01 2025/09/13</v>
      </c>
    </row>
    <row r="4" spans="1:7">
      <c r="A4" s="3" t="str">
        <f t="shared" ref="A4:A67" si="2">A3</f>
        <v>114-1</v>
      </c>
      <c r="B4" s="3" t="s">
        <v>143</v>
      </c>
      <c r="C4" s="3" t="str">
        <f t="shared" ref="C4:C9" si="3">C3</f>
        <v>W01</v>
      </c>
      <c r="D4" s="4">
        <f t="shared" ref="D4:D9" si="4">D3</f>
        <v>45913</v>
      </c>
      <c r="E4" s="3" t="s">
        <v>34</v>
      </c>
      <c r="F4" t="str">
        <f t="shared" si="0"/>
        <v>114-1\玄空風水\W01 20250913</v>
      </c>
      <c r="G4" t="str">
        <f t="shared" si="1"/>
        <v>W01 2025/09/13</v>
      </c>
    </row>
    <row r="5" spans="1:7">
      <c r="A5" s="3" t="str">
        <f t="shared" si="2"/>
        <v>114-1</v>
      </c>
      <c r="B5" s="3" t="s">
        <v>144</v>
      </c>
      <c r="C5" s="3" t="str">
        <f t="shared" si="3"/>
        <v>W01</v>
      </c>
      <c r="D5" s="4">
        <f t="shared" si="4"/>
        <v>45913</v>
      </c>
      <c r="E5" s="3" t="s">
        <v>34</v>
      </c>
      <c r="F5" t="str">
        <f t="shared" si="0"/>
        <v>114-1\擇日學\W01 20250913</v>
      </c>
      <c r="G5" t="str">
        <f>CONCATENATE(C5," ",TEXT(D5,"yyyy/mm/dd"))</f>
        <v>W01 2025/09/13</v>
      </c>
    </row>
    <row r="6" spans="1:7">
      <c r="A6" s="3" t="str">
        <f t="shared" si="2"/>
        <v>114-1</v>
      </c>
      <c r="B6" s="3" t="s">
        <v>145</v>
      </c>
      <c r="C6" s="3" t="str">
        <f t="shared" si="3"/>
        <v>W01</v>
      </c>
      <c r="D6" s="4">
        <f>D5+1</f>
        <v>45914</v>
      </c>
      <c r="E6" s="3" t="s">
        <v>35</v>
      </c>
      <c r="F6" t="str">
        <f t="shared" si="0"/>
        <v>114-1\道醫\W01 20250914</v>
      </c>
      <c r="G6" t="str">
        <f t="shared" si="1"/>
        <v>W01 2025/09/14</v>
      </c>
    </row>
    <row r="7" spans="1:7">
      <c r="A7" s="3" t="str">
        <f t="shared" si="2"/>
        <v>114-1</v>
      </c>
      <c r="B7" s="3" t="s">
        <v>146</v>
      </c>
      <c r="C7" s="3" t="str">
        <f t="shared" si="3"/>
        <v>W01</v>
      </c>
      <c r="D7" s="4">
        <f t="shared" si="4"/>
        <v>45914</v>
      </c>
      <c r="E7" s="3" t="s">
        <v>35</v>
      </c>
      <c r="F7" t="str">
        <f t="shared" si="0"/>
        <v>114-1\陽宅\W01 20250914</v>
      </c>
      <c r="G7" t="str">
        <f t="shared" si="1"/>
        <v>W01 2025/09/14</v>
      </c>
    </row>
    <row r="8" spans="1:7">
      <c r="A8" s="3" t="str">
        <f t="shared" si="2"/>
        <v>114-1</v>
      </c>
      <c r="B8" s="3" t="s">
        <v>147</v>
      </c>
      <c r="C8" s="3" t="str">
        <f t="shared" si="3"/>
        <v>W01</v>
      </c>
      <c r="D8" s="4">
        <f t="shared" si="4"/>
        <v>45914</v>
      </c>
      <c r="E8" s="3" t="s">
        <v>35</v>
      </c>
      <c r="F8" t="str">
        <f t="shared" si="0"/>
        <v>114-1\八字論證\W01 20250914</v>
      </c>
      <c r="G8" t="str">
        <f t="shared" si="1"/>
        <v>W01 2025/09/14</v>
      </c>
    </row>
    <row r="9" spans="1:7">
      <c r="A9" s="3" t="str">
        <f t="shared" si="2"/>
        <v>114-1</v>
      </c>
      <c r="B9" s="3" t="s">
        <v>68</v>
      </c>
      <c r="C9" s="3" t="str">
        <f t="shared" si="3"/>
        <v>W01</v>
      </c>
      <c r="D9" s="4">
        <f t="shared" si="4"/>
        <v>45914</v>
      </c>
      <c r="E9" s="3" t="s">
        <v>35</v>
      </c>
      <c r="F9" t="str">
        <f t="shared" si="0"/>
        <v>114-1\易經論證\W01 20250914</v>
      </c>
      <c r="G9" t="str">
        <f t="shared" si="1"/>
        <v>W01 2025/09/14</v>
      </c>
    </row>
    <row r="10" spans="1:7">
      <c r="A10" s="3" t="str">
        <f t="shared" si="2"/>
        <v>114-1</v>
      </c>
      <c r="B10" s="3" t="str">
        <f t="shared" ref="B10:B16" si="5">B2</f>
        <v>道教研究專題</v>
      </c>
      <c r="C10" s="3" t="s">
        <v>70</v>
      </c>
      <c r="D10" s="4">
        <f>D2+7</f>
        <v>45920</v>
      </c>
      <c r="E10" s="3" t="s">
        <v>34</v>
      </c>
      <c r="F10" t="str">
        <f t="shared" si="0"/>
        <v>114-1\道教研究專題\W02 20250920</v>
      </c>
      <c r="G10" t="str">
        <f t="shared" si="1"/>
        <v>W02 2025/09/20</v>
      </c>
    </row>
    <row r="11" spans="1:7">
      <c r="A11" s="3" t="str">
        <f t="shared" si="2"/>
        <v>114-1</v>
      </c>
      <c r="B11" s="3" t="str">
        <f t="shared" si="5"/>
        <v>奇門遁甲</v>
      </c>
      <c r="C11" s="3" t="str">
        <f t="shared" ref="C11:C73" si="6">C10</f>
        <v>W02</v>
      </c>
      <c r="D11" s="4">
        <f t="shared" ref="D11:D13" si="7">D3+7</f>
        <v>45920</v>
      </c>
      <c r="E11" s="3" t="s">
        <v>34</v>
      </c>
      <c r="F11" t="str">
        <f t="shared" si="0"/>
        <v>114-1\奇門遁甲\W02 20250920</v>
      </c>
      <c r="G11" t="str">
        <f t="shared" si="1"/>
        <v>W02 2025/09/20</v>
      </c>
    </row>
    <row r="12" spans="1:7">
      <c r="A12" s="3" t="str">
        <f t="shared" si="2"/>
        <v>114-1</v>
      </c>
      <c r="B12" s="3" t="str">
        <f t="shared" si="5"/>
        <v>玄空風水</v>
      </c>
      <c r="C12" s="3" t="str">
        <f t="shared" si="6"/>
        <v>W02</v>
      </c>
      <c r="D12" s="4">
        <f t="shared" si="7"/>
        <v>45920</v>
      </c>
      <c r="E12" s="3" t="s">
        <v>34</v>
      </c>
      <c r="F12" t="str">
        <f t="shared" si="0"/>
        <v>114-1\玄空風水\W02 20250920</v>
      </c>
      <c r="G12" t="str">
        <f t="shared" si="1"/>
        <v>W02 2025/09/20</v>
      </c>
    </row>
    <row r="13" spans="1:7">
      <c r="A13" s="3" t="str">
        <f t="shared" si="2"/>
        <v>114-1</v>
      </c>
      <c r="B13" s="3" t="str">
        <f t="shared" si="5"/>
        <v>擇日學</v>
      </c>
      <c r="C13" s="3" t="str">
        <f t="shared" si="6"/>
        <v>W02</v>
      </c>
      <c r="D13" s="4">
        <f t="shared" si="7"/>
        <v>45920</v>
      </c>
      <c r="E13" s="3" t="s">
        <v>34</v>
      </c>
      <c r="F13" t="str">
        <f t="shared" si="0"/>
        <v>114-1\擇日學\W02 20250920</v>
      </c>
      <c r="G13" t="str">
        <f t="shared" si="1"/>
        <v>W02 2025/09/20</v>
      </c>
    </row>
    <row r="14" spans="1:7">
      <c r="A14" s="3" t="str">
        <f t="shared" si="2"/>
        <v>114-1</v>
      </c>
      <c r="B14" s="3" t="str">
        <f t="shared" si="5"/>
        <v>道醫</v>
      </c>
      <c r="C14" s="3" t="str">
        <f t="shared" si="6"/>
        <v>W02</v>
      </c>
      <c r="D14" s="4">
        <f>D6+7</f>
        <v>45921</v>
      </c>
      <c r="E14" s="3" t="s">
        <v>35</v>
      </c>
      <c r="F14" t="str">
        <f t="shared" si="0"/>
        <v>114-1\道醫\W02 20250921</v>
      </c>
      <c r="G14" t="str">
        <f t="shared" si="1"/>
        <v>W02 2025/09/21</v>
      </c>
    </row>
    <row r="15" spans="1:7">
      <c r="A15" s="3" t="str">
        <f t="shared" si="2"/>
        <v>114-1</v>
      </c>
      <c r="B15" s="3" t="str">
        <f t="shared" si="5"/>
        <v>陽宅</v>
      </c>
      <c r="C15" s="3" t="str">
        <f t="shared" si="6"/>
        <v>W02</v>
      </c>
      <c r="D15" s="4">
        <f t="shared" ref="D15:D17" si="8">D7+7</f>
        <v>45921</v>
      </c>
      <c r="E15" s="3" t="s">
        <v>35</v>
      </c>
      <c r="F15" t="str">
        <f t="shared" si="0"/>
        <v>114-1\陽宅\W02 20250921</v>
      </c>
      <c r="G15" t="str">
        <f t="shared" si="1"/>
        <v>W02 2025/09/21</v>
      </c>
    </row>
    <row r="16" spans="1:7">
      <c r="A16" s="3" t="str">
        <f t="shared" si="2"/>
        <v>114-1</v>
      </c>
      <c r="B16" s="3" t="str">
        <f t="shared" si="5"/>
        <v>八字論證</v>
      </c>
      <c r="C16" s="3" t="str">
        <f t="shared" si="6"/>
        <v>W02</v>
      </c>
      <c r="D16" s="4">
        <f t="shared" si="8"/>
        <v>45921</v>
      </c>
      <c r="E16" s="3" t="s">
        <v>35</v>
      </c>
      <c r="F16" t="str">
        <f t="shared" si="0"/>
        <v>114-1\八字論證\W02 20250921</v>
      </c>
      <c r="G16" t="str">
        <f t="shared" si="1"/>
        <v>W02 2025/09/21</v>
      </c>
    </row>
    <row r="17" spans="1:7">
      <c r="A17" s="3" t="str">
        <f t="shared" si="2"/>
        <v>114-1</v>
      </c>
      <c r="B17" s="3" t="s">
        <v>68</v>
      </c>
      <c r="C17" s="3" t="str">
        <f t="shared" si="6"/>
        <v>W02</v>
      </c>
      <c r="D17" s="4">
        <f t="shared" si="8"/>
        <v>45921</v>
      </c>
      <c r="E17" s="3" t="s">
        <v>35</v>
      </c>
      <c r="F17" t="str">
        <f t="shared" si="0"/>
        <v>114-1\易經論證\W02 20250921</v>
      </c>
      <c r="G17" t="str">
        <f t="shared" si="1"/>
        <v>W02 2025/09/21</v>
      </c>
    </row>
    <row r="18" spans="1:7">
      <c r="A18" s="3" t="str">
        <f t="shared" si="2"/>
        <v>114-1</v>
      </c>
      <c r="B18" s="3" t="str">
        <f t="shared" ref="B18:B24" si="9">B10</f>
        <v>道教研究專題</v>
      </c>
      <c r="C18" s="3" t="s">
        <v>71</v>
      </c>
      <c r="D18" s="4">
        <f>D10+7</f>
        <v>45927</v>
      </c>
      <c r="E18" s="3" t="s">
        <v>34</v>
      </c>
      <c r="F18" t="str">
        <f t="shared" si="0"/>
        <v>114-1\道教研究專題\W03 20250927</v>
      </c>
      <c r="G18" t="str">
        <f t="shared" si="1"/>
        <v>W03 2025/09/27</v>
      </c>
    </row>
    <row r="19" spans="1:7">
      <c r="A19" s="3" t="str">
        <f t="shared" si="2"/>
        <v>114-1</v>
      </c>
      <c r="B19" s="3" t="str">
        <f t="shared" si="9"/>
        <v>奇門遁甲</v>
      </c>
      <c r="C19" s="3" t="str">
        <f t="shared" ref="C19" si="10">C18</f>
        <v>W03</v>
      </c>
      <c r="D19" s="4">
        <f t="shared" ref="D19:D21" si="11">D11+7</f>
        <v>45927</v>
      </c>
      <c r="E19" s="3" t="s">
        <v>34</v>
      </c>
      <c r="F19" t="str">
        <f t="shared" si="0"/>
        <v>114-1\奇門遁甲\W03 20250927</v>
      </c>
      <c r="G19" t="str">
        <f t="shared" si="1"/>
        <v>W03 2025/09/27</v>
      </c>
    </row>
    <row r="20" spans="1:7">
      <c r="A20" s="3" t="str">
        <f t="shared" si="2"/>
        <v>114-1</v>
      </c>
      <c r="B20" s="3" t="str">
        <f t="shared" si="9"/>
        <v>玄空風水</v>
      </c>
      <c r="C20" s="3" t="str">
        <f t="shared" si="6"/>
        <v>W03</v>
      </c>
      <c r="D20" s="4">
        <f t="shared" si="11"/>
        <v>45927</v>
      </c>
      <c r="E20" s="3" t="s">
        <v>34</v>
      </c>
      <c r="F20" t="str">
        <f t="shared" si="0"/>
        <v>114-1\玄空風水\W03 20250927</v>
      </c>
      <c r="G20" t="str">
        <f t="shared" si="1"/>
        <v>W03 2025/09/27</v>
      </c>
    </row>
    <row r="21" spans="1:7">
      <c r="A21" s="3" t="str">
        <f t="shared" si="2"/>
        <v>114-1</v>
      </c>
      <c r="B21" s="3" t="str">
        <f t="shared" si="9"/>
        <v>擇日學</v>
      </c>
      <c r="C21" s="3" t="str">
        <f t="shared" si="6"/>
        <v>W03</v>
      </c>
      <c r="D21" s="4">
        <f t="shared" si="11"/>
        <v>45927</v>
      </c>
      <c r="E21" s="3" t="s">
        <v>34</v>
      </c>
      <c r="F21" t="str">
        <f t="shared" si="0"/>
        <v>114-1\擇日學\W03 20250927</v>
      </c>
      <c r="G21" t="str">
        <f t="shared" si="1"/>
        <v>W03 2025/09/27</v>
      </c>
    </row>
    <row r="22" spans="1:7">
      <c r="A22" s="3" t="str">
        <f t="shared" si="2"/>
        <v>114-1</v>
      </c>
      <c r="B22" s="3" t="str">
        <f t="shared" si="9"/>
        <v>道醫</v>
      </c>
      <c r="C22" s="3" t="str">
        <f t="shared" si="6"/>
        <v>W03</v>
      </c>
      <c r="D22" s="4">
        <f>D14+7</f>
        <v>45928</v>
      </c>
      <c r="E22" s="3" t="s">
        <v>35</v>
      </c>
      <c r="F22" t="str">
        <f t="shared" si="0"/>
        <v>114-1\道醫\W03 20250928</v>
      </c>
      <c r="G22" t="str">
        <f t="shared" si="1"/>
        <v>W03 2025/09/28</v>
      </c>
    </row>
    <row r="23" spans="1:7">
      <c r="A23" s="3" t="str">
        <f t="shared" si="2"/>
        <v>114-1</v>
      </c>
      <c r="B23" s="3" t="str">
        <f t="shared" si="9"/>
        <v>陽宅</v>
      </c>
      <c r="C23" s="3" t="str">
        <f t="shared" si="6"/>
        <v>W03</v>
      </c>
      <c r="D23" s="4">
        <f t="shared" ref="D23:D86" si="12">D15+7</f>
        <v>45928</v>
      </c>
      <c r="E23" s="3" t="s">
        <v>35</v>
      </c>
      <c r="F23" t="str">
        <f t="shared" si="0"/>
        <v>114-1\陽宅\W03 20250928</v>
      </c>
      <c r="G23" t="str">
        <f t="shared" si="1"/>
        <v>W03 2025/09/28</v>
      </c>
    </row>
    <row r="24" spans="1:7">
      <c r="A24" s="3" t="str">
        <f t="shared" si="2"/>
        <v>114-1</v>
      </c>
      <c r="B24" s="3" t="str">
        <f t="shared" si="9"/>
        <v>八字論證</v>
      </c>
      <c r="C24" s="3" t="str">
        <f t="shared" si="6"/>
        <v>W03</v>
      </c>
      <c r="D24" s="4">
        <f t="shared" si="12"/>
        <v>45928</v>
      </c>
      <c r="E24" s="3" t="s">
        <v>35</v>
      </c>
      <c r="F24" t="str">
        <f t="shared" si="0"/>
        <v>114-1\八字論證\W03 20250928</v>
      </c>
      <c r="G24" t="str">
        <f t="shared" si="1"/>
        <v>W03 2025/09/28</v>
      </c>
    </row>
    <row r="25" spans="1:7">
      <c r="A25" s="3" t="str">
        <f>A24</f>
        <v>114-1</v>
      </c>
      <c r="B25" s="3" t="s">
        <v>68</v>
      </c>
      <c r="C25" s="3" t="str">
        <f t="shared" si="6"/>
        <v>W03</v>
      </c>
      <c r="D25" s="4">
        <f t="shared" si="12"/>
        <v>45928</v>
      </c>
      <c r="E25" s="3" t="s">
        <v>35</v>
      </c>
      <c r="F25" t="str">
        <f t="shared" si="0"/>
        <v>114-1\易經論證\W03 20250928</v>
      </c>
      <c r="G25" t="str">
        <f t="shared" si="1"/>
        <v>W03 2025/09/28</v>
      </c>
    </row>
    <row r="26" spans="1:7">
      <c r="A26" s="3" t="str">
        <f t="shared" si="2"/>
        <v>114-1</v>
      </c>
      <c r="B26" s="3" t="str">
        <f t="shared" ref="B26:B32" si="13">B18</f>
        <v>道教研究專題</v>
      </c>
      <c r="C26" s="3" t="s">
        <v>72</v>
      </c>
      <c r="D26" s="4">
        <f t="shared" si="12"/>
        <v>45934</v>
      </c>
      <c r="E26" s="3" t="s">
        <v>34</v>
      </c>
      <c r="F26" t="str">
        <f t="shared" si="0"/>
        <v>114-1\道教研究專題\W04 20251004</v>
      </c>
      <c r="G26" t="str">
        <f t="shared" si="1"/>
        <v>W04 2025/10/04</v>
      </c>
    </row>
    <row r="27" spans="1:7">
      <c r="A27" s="3" t="str">
        <f t="shared" si="2"/>
        <v>114-1</v>
      </c>
      <c r="B27" s="3" t="str">
        <f t="shared" si="13"/>
        <v>奇門遁甲</v>
      </c>
      <c r="C27" s="3" t="str">
        <f t="shared" ref="C27" si="14">C26</f>
        <v>W04</v>
      </c>
      <c r="D27" s="4">
        <f t="shared" si="12"/>
        <v>45934</v>
      </c>
      <c r="E27" s="3" t="s">
        <v>34</v>
      </c>
      <c r="F27" t="str">
        <f t="shared" si="0"/>
        <v>114-1\奇門遁甲\W04 20251004</v>
      </c>
      <c r="G27" t="str">
        <f t="shared" si="1"/>
        <v>W04 2025/10/04</v>
      </c>
    </row>
    <row r="28" spans="1:7">
      <c r="A28" s="3" t="str">
        <f t="shared" si="2"/>
        <v>114-1</v>
      </c>
      <c r="B28" s="3" t="str">
        <f t="shared" si="13"/>
        <v>玄空風水</v>
      </c>
      <c r="C28" s="3" t="str">
        <f t="shared" si="6"/>
        <v>W04</v>
      </c>
      <c r="D28" s="4">
        <f t="shared" si="12"/>
        <v>45934</v>
      </c>
      <c r="E28" s="3" t="s">
        <v>34</v>
      </c>
      <c r="F28" t="str">
        <f t="shared" si="0"/>
        <v>114-1\玄空風水\W04 20251004</v>
      </c>
      <c r="G28" t="str">
        <f t="shared" si="1"/>
        <v>W04 2025/10/04</v>
      </c>
    </row>
    <row r="29" spans="1:7">
      <c r="A29" s="3" t="str">
        <f t="shared" si="2"/>
        <v>114-1</v>
      </c>
      <c r="B29" s="3" t="str">
        <f t="shared" si="13"/>
        <v>擇日學</v>
      </c>
      <c r="C29" s="3" t="str">
        <f t="shared" si="6"/>
        <v>W04</v>
      </c>
      <c r="D29" s="4">
        <f t="shared" si="12"/>
        <v>45934</v>
      </c>
      <c r="E29" s="3" t="s">
        <v>34</v>
      </c>
      <c r="F29" t="str">
        <f t="shared" si="0"/>
        <v>114-1\擇日學\W04 20251004</v>
      </c>
      <c r="G29" t="str">
        <f t="shared" si="1"/>
        <v>W04 2025/10/04</v>
      </c>
    </row>
    <row r="30" spans="1:7">
      <c r="A30" s="3" t="str">
        <f t="shared" si="2"/>
        <v>114-1</v>
      </c>
      <c r="B30" s="3" t="str">
        <f t="shared" si="13"/>
        <v>道醫</v>
      </c>
      <c r="C30" s="3" t="str">
        <f t="shared" si="6"/>
        <v>W04</v>
      </c>
      <c r="D30" s="4">
        <f t="shared" si="12"/>
        <v>45935</v>
      </c>
      <c r="E30" s="3" t="s">
        <v>35</v>
      </c>
      <c r="F30" t="str">
        <f t="shared" si="0"/>
        <v>114-1\道醫\W04 20251005</v>
      </c>
      <c r="G30" t="str">
        <f t="shared" si="1"/>
        <v>W04 2025/10/05</v>
      </c>
    </row>
    <row r="31" spans="1:7">
      <c r="A31" s="3" t="str">
        <f t="shared" si="2"/>
        <v>114-1</v>
      </c>
      <c r="B31" s="3" t="str">
        <f t="shared" si="13"/>
        <v>陽宅</v>
      </c>
      <c r="C31" s="3" t="str">
        <f t="shared" si="6"/>
        <v>W04</v>
      </c>
      <c r="D31" s="4">
        <f t="shared" si="12"/>
        <v>45935</v>
      </c>
      <c r="E31" s="3" t="s">
        <v>35</v>
      </c>
      <c r="F31" t="str">
        <f t="shared" si="0"/>
        <v>114-1\陽宅\W04 20251005</v>
      </c>
      <c r="G31" t="str">
        <f t="shared" si="1"/>
        <v>W04 2025/10/05</v>
      </c>
    </row>
    <row r="32" spans="1:7">
      <c r="A32" s="3" t="str">
        <f t="shared" si="2"/>
        <v>114-1</v>
      </c>
      <c r="B32" s="3" t="str">
        <f t="shared" si="13"/>
        <v>八字論證</v>
      </c>
      <c r="C32" s="3" t="str">
        <f t="shared" si="6"/>
        <v>W04</v>
      </c>
      <c r="D32" s="4">
        <f t="shared" si="12"/>
        <v>45935</v>
      </c>
      <c r="E32" s="3" t="s">
        <v>35</v>
      </c>
      <c r="F32" t="str">
        <f t="shared" si="0"/>
        <v>114-1\八字論證\W04 20251005</v>
      </c>
      <c r="G32" t="str">
        <f t="shared" si="1"/>
        <v>W04 2025/10/05</v>
      </c>
    </row>
    <row r="33" spans="1:7">
      <c r="A33" s="3" t="str">
        <f t="shared" si="2"/>
        <v>114-1</v>
      </c>
      <c r="B33" s="3" t="s">
        <v>68</v>
      </c>
      <c r="C33" s="3" t="str">
        <f t="shared" si="6"/>
        <v>W04</v>
      </c>
      <c r="D33" s="4">
        <f t="shared" si="12"/>
        <v>45935</v>
      </c>
      <c r="E33" s="3" t="s">
        <v>35</v>
      </c>
      <c r="F33" t="str">
        <f t="shared" si="0"/>
        <v>114-1\易經論證\W04 20251005</v>
      </c>
      <c r="G33" t="str">
        <f t="shared" si="1"/>
        <v>W04 2025/10/05</v>
      </c>
    </row>
    <row r="34" spans="1:7">
      <c r="A34" s="3" t="str">
        <f t="shared" si="2"/>
        <v>114-1</v>
      </c>
      <c r="B34" s="3" t="str">
        <f t="shared" ref="B34:B40" si="15">B26</f>
        <v>道教研究專題</v>
      </c>
      <c r="C34" s="3" t="s">
        <v>73</v>
      </c>
      <c r="D34" s="4">
        <f t="shared" si="12"/>
        <v>45941</v>
      </c>
      <c r="E34" s="3" t="s">
        <v>34</v>
      </c>
      <c r="F34" t="str">
        <f t="shared" si="0"/>
        <v>114-1\道教研究專題\W05 20251011</v>
      </c>
      <c r="G34" t="str">
        <f t="shared" si="1"/>
        <v>W05 2025/10/11</v>
      </c>
    </row>
    <row r="35" spans="1:7">
      <c r="A35" s="3" t="str">
        <f t="shared" si="2"/>
        <v>114-1</v>
      </c>
      <c r="B35" s="3" t="str">
        <f t="shared" si="15"/>
        <v>奇門遁甲</v>
      </c>
      <c r="C35" s="3" t="str">
        <f t="shared" ref="C35" si="16">C34</f>
        <v>W05</v>
      </c>
      <c r="D35" s="4">
        <f t="shared" si="12"/>
        <v>45941</v>
      </c>
      <c r="E35" s="3" t="s">
        <v>34</v>
      </c>
      <c r="F35" t="str">
        <f t="shared" si="0"/>
        <v>114-1\奇門遁甲\W05 20251011</v>
      </c>
      <c r="G35" t="str">
        <f t="shared" si="1"/>
        <v>W05 2025/10/11</v>
      </c>
    </row>
    <row r="36" spans="1:7">
      <c r="A36" s="3" t="str">
        <f t="shared" si="2"/>
        <v>114-1</v>
      </c>
      <c r="B36" s="3" t="str">
        <f t="shared" si="15"/>
        <v>玄空風水</v>
      </c>
      <c r="C36" s="3" t="str">
        <f t="shared" si="6"/>
        <v>W05</v>
      </c>
      <c r="D36" s="4">
        <f t="shared" si="12"/>
        <v>45941</v>
      </c>
      <c r="E36" s="3" t="s">
        <v>34</v>
      </c>
      <c r="F36" t="str">
        <f t="shared" si="0"/>
        <v>114-1\玄空風水\W05 20251011</v>
      </c>
      <c r="G36" t="str">
        <f t="shared" si="1"/>
        <v>W05 2025/10/11</v>
      </c>
    </row>
    <row r="37" spans="1:7">
      <c r="A37" s="3" t="str">
        <f t="shared" si="2"/>
        <v>114-1</v>
      </c>
      <c r="B37" s="3" t="str">
        <f t="shared" si="15"/>
        <v>擇日學</v>
      </c>
      <c r="C37" s="3" t="str">
        <f t="shared" si="6"/>
        <v>W05</v>
      </c>
      <c r="D37" s="4">
        <f t="shared" si="12"/>
        <v>45941</v>
      </c>
      <c r="E37" s="3" t="s">
        <v>34</v>
      </c>
      <c r="F37" t="str">
        <f t="shared" si="0"/>
        <v>114-1\擇日學\W05 20251011</v>
      </c>
      <c r="G37" t="str">
        <f t="shared" si="1"/>
        <v>W05 2025/10/11</v>
      </c>
    </row>
    <row r="38" spans="1:7">
      <c r="A38" s="3" t="str">
        <f t="shared" si="2"/>
        <v>114-1</v>
      </c>
      <c r="B38" s="3" t="str">
        <f t="shared" si="15"/>
        <v>道醫</v>
      </c>
      <c r="C38" s="3" t="str">
        <f t="shared" si="6"/>
        <v>W05</v>
      </c>
      <c r="D38" s="4">
        <f t="shared" si="12"/>
        <v>45942</v>
      </c>
      <c r="E38" s="3" t="s">
        <v>35</v>
      </c>
      <c r="F38" t="str">
        <f t="shared" si="0"/>
        <v>114-1\道醫\W05 20251012</v>
      </c>
      <c r="G38" t="str">
        <f t="shared" si="1"/>
        <v>W05 2025/10/12</v>
      </c>
    </row>
    <row r="39" spans="1:7">
      <c r="A39" s="3" t="str">
        <f t="shared" si="2"/>
        <v>114-1</v>
      </c>
      <c r="B39" s="3" t="str">
        <f t="shared" si="15"/>
        <v>陽宅</v>
      </c>
      <c r="C39" s="3" t="str">
        <f t="shared" si="6"/>
        <v>W05</v>
      </c>
      <c r="D39" s="4">
        <f t="shared" si="12"/>
        <v>45942</v>
      </c>
      <c r="E39" s="3" t="s">
        <v>35</v>
      </c>
      <c r="F39" t="str">
        <f t="shared" si="0"/>
        <v>114-1\陽宅\W05 20251012</v>
      </c>
      <c r="G39" t="str">
        <f t="shared" si="1"/>
        <v>W05 2025/10/12</v>
      </c>
    </row>
    <row r="40" spans="1:7">
      <c r="A40" s="3" t="str">
        <f t="shared" si="2"/>
        <v>114-1</v>
      </c>
      <c r="B40" s="3" t="str">
        <f t="shared" si="15"/>
        <v>八字論證</v>
      </c>
      <c r="C40" s="3" t="str">
        <f t="shared" si="6"/>
        <v>W05</v>
      </c>
      <c r="D40" s="4">
        <f t="shared" si="12"/>
        <v>45942</v>
      </c>
      <c r="E40" s="3" t="s">
        <v>35</v>
      </c>
      <c r="F40" t="str">
        <f t="shared" si="0"/>
        <v>114-1\八字論證\W05 20251012</v>
      </c>
      <c r="G40" t="str">
        <f t="shared" si="1"/>
        <v>W05 2025/10/12</v>
      </c>
    </row>
    <row r="41" spans="1:7">
      <c r="A41" s="3" t="str">
        <f t="shared" si="2"/>
        <v>114-1</v>
      </c>
      <c r="B41" s="3" t="s">
        <v>68</v>
      </c>
      <c r="C41" s="3" t="str">
        <f t="shared" si="6"/>
        <v>W05</v>
      </c>
      <c r="D41" s="4">
        <f t="shared" si="12"/>
        <v>45942</v>
      </c>
      <c r="E41" s="3" t="s">
        <v>35</v>
      </c>
      <c r="F41" t="str">
        <f t="shared" si="0"/>
        <v>114-1\易經論證\W05 20251012</v>
      </c>
      <c r="G41" t="str">
        <f t="shared" si="1"/>
        <v>W05 2025/10/12</v>
      </c>
    </row>
    <row r="42" spans="1:7">
      <c r="A42" s="3" t="str">
        <f t="shared" si="2"/>
        <v>114-1</v>
      </c>
      <c r="B42" s="3" t="str">
        <f t="shared" ref="B42:B48" si="17">B34</f>
        <v>道教研究專題</v>
      </c>
      <c r="C42" s="3" t="s">
        <v>74</v>
      </c>
      <c r="D42" s="4">
        <f t="shared" si="12"/>
        <v>45948</v>
      </c>
      <c r="E42" s="3" t="s">
        <v>34</v>
      </c>
      <c r="F42" t="str">
        <f t="shared" si="0"/>
        <v>114-1\道教研究專題\W06 20251018</v>
      </c>
      <c r="G42" t="str">
        <f t="shared" si="1"/>
        <v>W06 2025/10/18</v>
      </c>
    </row>
    <row r="43" spans="1:7">
      <c r="A43" s="3" t="str">
        <f t="shared" si="2"/>
        <v>114-1</v>
      </c>
      <c r="B43" s="3" t="str">
        <f t="shared" si="17"/>
        <v>奇門遁甲</v>
      </c>
      <c r="C43" s="3" t="str">
        <f t="shared" ref="C43" si="18">C42</f>
        <v>W06</v>
      </c>
      <c r="D43" s="4">
        <f t="shared" si="12"/>
        <v>45948</v>
      </c>
      <c r="E43" s="3" t="s">
        <v>34</v>
      </c>
      <c r="F43" t="str">
        <f t="shared" si="0"/>
        <v>114-1\奇門遁甲\W06 20251018</v>
      </c>
      <c r="G43" t="str">
        <f t="shared" si="1"/>
        <v>W06 2025/10/18</v>
      </c>
    </row>
    <row r="44" spans="1:7">
      <c r="A44" s="3" t="str">
        <f t="shared" si="2"/>
        <v>114-1</v>
      </c>
      <c r="B44" s="3" t="str">
        <f t="shared" si="17"/>
        <v>玄空風水</v>
      </c>
      <c r="C44" s="3" t="str">
        <f t="shared" si="6"/>
        <v>W06</v>
      </c>
      <c r="D44" s="4">
        <f t="shared" si="12"/>
        <v>45948</v>
      </c>
      <c r="E44" s="3" t="s">
        <v>34</v>
      </c>
      <c r="F44" t="str">
        <f t="shared" si="0"/>
        <v>114-1\玄空風水\W06 20251018</v>
      </c>
      <c r="G44" t="str">
        <f t="shared" si="1"/>
        <v>W06 2025/10/18</v>
      </c>
    </row>
    <row r="45" spans="1:7">
      <c r="A45" s="3" t="str">
        <f t="shared" si="2"/>
        <v>114-1</v>
      </c>
      <c r="B45" s="3" t="str">
        <f t="shared" si="17"/>
        <v>擇日學</v>
      </c>
      <c r="C45" s="3" t="str">
        <f t="shared" si="6"/>
        <v>W06</v>
      </c>
      <c r="D45" s="4">
        <f t="shared" si="12"/>
        <v>45948</v>
      </c>
      <c r="E45" s="3" t="s">
        <v>34</v>
      </c>
      <c r="F45" t="str">
        <f t="shared" si="0"/>
        <v>114-1\擇日學\W06 20251018</v>
      </c>
      <c r="G45" t="str">
        <f t="shared" si="1"/>
        <v>W06 2025/10/18</v>
      </c>
    </row>
    <row r="46" spans="1:7">
      <c r="A46" s="3" t="str">
        <f t="shared" si="2"/>
        <v>114-1</v>
      </c>
      <c r="B46" s="3" t="str">
        <f t="shared" si="17"/>
        <v>道醫</v>
      </c>
      <c r="C46" s="3" t="str">
        <f t="shared" si="6"/>
        <v>W06</v>
      </c>
      <c r="D46" s="4">
        <f t="shared" si="12"/>
        <v>45949</v>
      </c>
      <c r="E46" s="3" t="s">
        <v>35</v>
      </c>
      <c r="F46" t="str">
        <f t="shared" si="0"/>
        <v>114-1\道醫\W06 20251019</v>
      </c>
      <c r="G46" t="str">
        <f t="shared" si="1"/>
        <v>W06 2025/10/19</v>
      </c>
    </row>
    <row r="47" spans="1:7">
      <c r="A47" s="3" t="str">
        <f t="shared" si="2"/>
        <v>114-1</v>
      </c>
      <c r="B47" s="3" t="str">
        <f t="shared" si="17"/>
        <v>陽宅</v>
      </c>
      <c r="C47" s="3" t="str">
        <f t="shared" si="6"/>
        <v>W06</v>
      </c>
      <c r="D47" s="4">
        <f t="shared" si="12"/>
        <v>45949</v>
      </c>
      <c r="E47" s="3" t="s">
        <v>35</v>
      </c>
      <c r="F47" t="str">
        <f t="shared" si="0"/>
        <v>114-1\陽宅\W06 20251019</v>
      </c>
      <c r="G47" t="str">
        <f t="shared" si="1"/>
        <v>W06 2025/10/19</v>
      </c>
    </row>
    <row r="48" spans="1:7">
      <c r="A48" s="3" t="str">
        <f t="shared" si="2"/>
        <v>114-1</v>
      </c>
      <c r="B48" s="3" t="str">
        <f t="shared" si="17"/>
        <v>八字論證</v>
      </c>
      <c r="C48" s="3" t="str">
        <f t="shared" si="6"/>
        <v>W06</v>
      </c>
      <c r="D48" s="4">
        <f t="shared" si="12"/>
        <v>45949</v>
      </c>
      <c r="E48" s="3" t="s">
        <v>35</v>
      </c>
      <c r="F48" t="str">
        <f t="shared" si="0"/>
        <v>114-1\八字論證\W06 20251019</v>
      </c>
      <c r="G48" t="str">
        <f t="shared" si="1"/>
        <v>W06 2025/10/19</v>
      </c>
    </row>
    <row r="49" spans="1:7">
      <c r="A49" s="3" t="str">
        <f t="shared" si="2"/>
        <v>114-1</v>
      </c>
      <c r="B49" s="3" t="s">
        <v>68</v>
      </c>
      <c r="C49" s="3" t="str">
        <f t="shared" si="6"/>
        <v>W06</v>
      </c>
      <c r="D49" s="4">
        <f t="shared" si="12"/>
        <v>45949</v>
      </c>
      <c r="E49" s="3" t="s">
        <v>35</v>
      </c>
      <c r="F49" t="str">
        <f t="shared" si="0"/>
        <v>114-1\易經論證\W06 20251019</v>
      </c>
      <c r="G49" t="str">
        <f t="shared" si="1"/>
        <v>W06 2025/10/19</v>
      </c>
    </row>
    <row r="50" spans="1:7">
      <c r="A50" s="3" t="str">
        <f t="shared" si="2"/>
        <v>114-1</v>
      </c>
      <c r="B50" s="3" t="str">
        <f t="shared" ref="B50:B56" si="19">B42</f>
        <v>道教研究專題</v>
      </c>
      <c r="C50" s="3" t="s">
        <v>75</v>
      </c>
      <c r="D50" s="4">
        <f t="shared" si="12"/>
        <v>45955</v>
      </c>
      <c r="E50" s="3" t="s">
        <v>34</v>
      </c>
      <c r="F50" t="str">
        <f t="shared" si="0"/>
        <v>114-1\道教研究專題\W07 20251025</v>
      </c>
      <c r="G50" t="str">
        <f t="shared" si="1"/>
        <v>W07 2025/10/25</v>
      </c>
    </row>
    <row r="51" spans="1:7">
      <c r="A51" s="3" t="str">
        <f t="shared" si="2"/>
        <v>114-1</v>
      </c>
      <c r="B51" s="3" t="str">
        <f t="shared" si="19"/>
        <v>奇門遁甲</v>
      </c>
      <c r="C51" s="3" t="str">
        <f t="shared" ref="C51" si="20">C50</f>
        <v>W07</v>
      </c>
      <c r="D51" s="4">
        <f t="shared" si="12"/>
        <v>45955</v>
      </c>
      <c r="E51" s="3" t="s">
        <v>34</v>
      </c>
      <c r="F51" t="str">
        <f t="shared" si="0"/>
        <v>114-1\奇門遁甲\W07 20251025</v>
      </c>
      <c r="G51" t="str">
        <f t="shared" si="1"/>
        <v>W07 2025/10/25</v>
      </c>
    </row>
    <row r="52" spans="1:7">
      <c r="A52" s="3" t="str">
        <f t="shared" si="2"/>
        <v>114-1</v>
      </c>
      <c r="B52" s="3" t="str">
        <f t="shared" si="19"/>
        <v>玄空風水</v>
      </c>
      <c r="C52" s="3" t="str">
        <f t="shared" si="6"/>
        <v>W07</v>
      </c>
      <c r="D52" s="4">
        <f t="shared" si="12"/>
        <v>45955</v>
      </c>
      <c r="E52" s="3" t="s">
        <v>34</v>
      </c>
      <c r="F52" t="str">
        <f t="shared" si="0"/>
        <v>114-1\玄空風水\W07 20251025</v>
      </c>
      <c r="G52" t="str">
        <f t="shared" si="1"/>
        <v>W07 2025/10/25</v>
      </c>
    </row>
    <row r="53" spans="1:7">
      <c r="A53" s="3" t="str">
        <f t="shared" si="2"/>
        <v>114-1</v>
      </c>
      <c r="B53" s="3" t="str">
        <f t="shared" si="19"/>
        <v>擇日學</v>
      </c>
      <c r="C53" s="3" t="str">
        <f t="shared" si="6"/>
        <v>W07</v>
      </c>
      <c r="D53" s="4">
        <f t="shared" si="12"/>
        <v>45955</v>
      </c>
      <c r="E53" s="3" t="s">
        <v>34</v>
      </c>
      <c r="F53" t="str">
        <f t="shared" si="0"/>
        <v>114-1\擇日學\W07 20251025</v>
      </c>
      <c r="G53" t="str">
        <f t="shared" si="1"/>
        <v>W07 2025/10/25</v>
      </c>
    </row>
    <row r="54" spans="1:7">
      <c r="A54" s="3" t="str">
        <f t="shared" si="2"/>
        <v>114-1</v>
      </c>
      <c r="B54" s="3" t="str">
        <f t="shared" si="19"/>
        <v>道醫</v>
      </c>
      <c r="C54" s="3" t="str">
        <f t="shared" si="6"/>
        <v>W07</v>
      </c>
      <c r="D54" s="4">
        <f t="shared" si="12"/>
        <v>45956</v>
      </c>
      <c r="E54" s="3" t="s">
        <v>35</v>
      </c>
      <c r="F54" t="str">
        <f t="shared" si="0"/>
        <v>114-1\道醫\W07 20251026</v>
      </c>
      <c r="G54" t="str">
        <f t="shared" si="1"/>
        <v>W07 2025/10/26</v>
      </c>
    </row>
    <row r="55" spans="1:7">
      <c r="A55" s="3" t="str">
        <f t="shared" si="2"/>
        <v>114-1</v>
      </c>
      <c r="B55" s="3" t="str">
        <f t="shared" si="19"/>
        <v>陽宅</v>
      </c>
      <c r="C55" s="3" t="str">
        <f t="shared" si="6"/>
        <v>W07</v>
      </c>
      <c r="D55" s="4">
        <f t="shared" si="12"/>
        <v>45956</v>
      </c>
      <c r="E55" s="3" t="s">
        <v>35</v>
      </c>
      <c r="F55" t="str">
        <f t="shared" si="0"/>
        <v>114-1\陽宅\W07 20251026</v>
      </c>
      <c r="G55" t="str">
        <f t="shared" si="1"/>
        <v>W07 2025/10/26</v>
      </c>
    </row>
    <row r="56" spans="1:7">
      <c r="A56" s="3" t="str">
        <f t="shared" si="2"/>
        <v>114-1</v>
      </c>
      <c r="B56" s="3" t="str">
        <f t="shared" si="19"/>
        <v>八字論證</v>
      </c>
      <c r="C56" s="3" t="str">
        <f t="shared" si="6"/>
        <v>W07</v>
      </c>
      <c r="D56" s="4">
        <f t="shared" si="12"/>
        <v>45956</v>
      </c>
      <c r="E56" s="3" t="s">
        <v>35</v>
      </c>
      <c r="F56" t="str">
        <f t="shared" si="0"/>
        <v>114-1\八字論證\W07 20251026</v>
      </c>
      <c r="G56" t="str">
        <f t="shared" si="1"/>
        <v>W07 2025/10/26</v>
      </c>
    </row>
    <row r="57" spans="1:7">
      <c r="A57" s="3" t="str">
        <f t="shared" si="2"/>
        <v>114-1</v>
      </c>
      <c r="B57" s="3" t="s">
        <v>68</v>
      </c>
      <c r="C57" s="3" t="str">
        <f t="shared" si="6"/>
        <v>W07</v>
      </c>
      <c r="D57" s="4">
        <f t="shared" si="12"/>
        <v>45956</v>
      </c>
      <c r="E57" s="3" t="s">
        <v>35</v>
      </c>
      <c r="F57" t="str">
        <f t="shared" si="0"/>
        <v>114-1\易經論證\W07 20251026</v>
      </c>
      <c r="G57" t="str">
        <f t="shared" si="1"/>
        <v>W07 2025/10/26</v>
      </c>
    </row>
    <row r="58" spans="1:7">
      <c r="A58" s="3" t="str">
        <f t="shared" si="2"/>
        <v>114-1</v>
      </c>
      <c r="B58" s="3" t="str">
        <f t="shared" ref="B58:B64" si="21">B50</f>
        <v>道教研究專題</v>
      </c>
      <c r="C58" s="3" t="s">
        <v>76</v>
      </c>
      <c r="D58" s="4">
        <f t="shared" si="12"/>
        <v>45962</v>
      </c>
      <c r="E58" s="3" t="s">
        <v>34</v>
      </c>
      <c r="F58" t="str">
        <f t="shared" si="0"/>
        <v>114-1\道教研究專題\W08 20251101</v>
      </c>
      <c r="G58" t="str">
        <f t="shared" si="1"/>
        <v>W08 2025/11/01</v>
      </c>
    </row>
    <row r="59" spans="1:7">
      <c r="A59" s="3" t="str">
        <f t="shared" si="2"/>
        <v>114-1</v>
      </c>
      <c r="B59" s="3" t="str">
        <f t="shared" si="21"/>
        <v>奇門遁甲</v>
      </c>
      <c r="C59" s="3" t="str">
        <f t="shared" ref="C59" si="22">C58</f>
        <v>W08</v>
      </c>
      <c r="D59" s="4">
        <f t="shared" si="12"/>
        <v>45962</v>
      </c>
      <c r="E59" s="3" t="s">
        <v>34</v>
      </c>
      <c r="F59" t="str">
        <f t="shared" si="0"/>
        <v>114-1\奇門遁甲\W08 20251101</v>
      </c>
      <c r="G59" t="str">
        <f t="shared" si="1"/>
        <v>W08 2025/11/01</v>
      </c>
    </row>
    <row r="60" spans="1:7">
      <c r="A60" s="3" t="str">
        <f t="shared" si="2"/>
        <v>114-1</v>
      </c>
      <c r="B60" s="3" t="str">
        <f t="shared" si="21"/>
        <v>玄空風水</v>
      </c>
      <c r="C60" s="3" t="str">
        <f t="shared" si="6"/>
        <v>W08</v>
      </c>
      <c r="D60" s="4">
        <f t="shared" si="12"/>
        <v>45962</v>
      </c>
      <c r="E60" s="3" t="s">
        <v>34</v>
      </c>
      <c r="F60" t="str">
        <f t="shared" si="0"/>
        <v>114-1\玄空風水\W08 20251101</v>
      </c>
      <c r="G60" t="str">
        <f t="shared" si="1"/>
        <v>W08 2025/11/01</v>
      </c>
    </row>
    <row r="61" spans="1:7">
      <c r="A61" s="3" t="str">
        <f t="shared" si="2"/>
        <v>114-1</v>
      </c>
      <c r="B61" s="3" t="str">
        <f t="shared" si="21"/>
        <v>擇日學</v>
      </c>
      <c r="C61" s="3" t="str">
        <f t="shared" si="6"/>
        <v>W08</v>
      </c>
      <c r="D61" s="4">
        <f t="shared" si="12"/>
        <v>45962</v>
      </c>
      <c r="E61" s="3" t="s">
        <v>34</v>
      </c>
      <c r="F61" t="str">
        <f t="shared" si="0"/>
        <v>114-1\擇日學\W08 20251101</v>
      </c>
      <c r="G61" t="str">
        <f t="shared" si="1"/>
        <v>W08 2025/11/01</v>
      </c>
    </row>
    <row r="62" spans="1:7">
      <c r="A62" s="3" t="str">
        <f t="shared" si="2"/>
        <v>114-1</v>
      </c>
      <c r="B62" s="3" t="str">
        <f t="shared" si="21"/>
        <v>道醫</v>
      </c>
      <c r="C62" s="3" t="str">
        <f t="shared" si="6"/>
        <v>W08</v>
      </c>
      <c r="D62" s="4">
        <f t="shared" si="12"/>
        <v>45963</v>
      </c>
      <c r="E62" s="3" t="s">
        <v>35</v>
      </c>
      <c r="F62" t="str">
        <f t="shared" si="0"/>
        <v>114-1\道醫\W08 20251102</v>
      </c>
      <c r="G62" t="str">
        <f t="shared" si="1"/>
        <v>W08 2025/11/02</v>
      </c>
    </row>
    <row r="63" spans="1:7">
      <c r="A63" s="3" t="str">
        <f t="shared" si="2"/>
        <v>114-1</v>
      </c>
      <c r="B63" s="3" t="str">
        <f t="shared" si="21"/>
        <v>陽宅</v>
      </c>
      <c r="C63" s="3" t="str">
        <f t="shared" si="6"/>
        <v>W08</v>
      </c>
      <c r="D63" s="4">
        <f t="shared" si="12"/>
        <v>45963</v>
      </c>
      <c r="E63" s="3" t="s">
        <v>35</v>
      </c>
      <c r="F63" t="str">
        <f t="shared" si="0"/>
        <v>114-1\陽宅\W08 20251102</v>
      </c>
      <c r="G63" t="str">
        <f t="shared" si="1"/>
        <v>W08 2025/11/02</v>
      </c>
    </row>
    <row r="64" spans="1:7">
      <c r="A64" s="3" t="str">
        <f t="shared" si="2"/>
        <v>114-1</v>
      </c>
      <c r="B64" s="3" t="str">
        <f t="shared" si="21"/>
        <v>八字論證</v>
      </c>
      <c r="C64" s="3" t="str">
        <f t="shared" si="6"/>
        <v>W08</v>
      </c>
      <c r="D64" s="4">
        <f t="shared" si="12"/>
        <v>45963</v>
      </c>
      <c r="E64" s="3" t="s">
        <v>35</v>
      </c>
      <c r="F64" t="str">
        <f t="shared" si="0"/>
        <v>114-1\八字論證\W08 20251102</v>
      </c>
      <c r="G64" t="str">
        <f t="shared" si="1"/>
        <v>W08 2025/11/02</v>
      </c>
    </row>
    <row r="65" spans="1:7">
      <c r="A65" s="3" t="str">
        <f t="shared" si="2"/>
        <v>114-1</v>
      </c>
      <c r="B65" s="3" t="s">
        <v>68</v>
      </c>
      <c r="C65" s="3" t="str">
        <f t="shared" si="6"/>
        <v>W08</v>
      </c>
      <c r="D65" s="4">
        <f t="shared" si="12"/>
        <v>45963</v>
      </c>
      <c r="E65" s="3" t="s">
        <v>35</v>
      </c>
      <c r="F65" t="str">
        <f t="shared" si="0"/>
        <v>114-1\易經論證\W08 20251102</v>
      </c>
      <c r="G65" t="str">
        <f t="shared" si="1"/>
        <v>W08 2025/11/02</v>
      </c>
    </row>
    <row r="66" spans="1:7">
      <c r="A66" s="3" t="str">
        <f t="shared" si="2"/>
        <v>114-1</v>
      </c>
      <c r="B66" s="3" t="str">
        <f t="shared" ref="B66:B72" si="23">B58</f>
        <v>道教研究專題</v>
      </c>
      <c r="C66" s="3" t="s">
        <v>77</v>
      </c>
      <c r="D66" s="4">
        <f t="shared" si="12"/>
        <v>45969</v>
      </c>
      <c r="E66" s="3" t="s">
        <v>34</v>
      </c>
      <c r="F66" t="str">
        <f t="shared" si="0"/>
        <v>114-1\道教研究專題\W09 20251108</v>
      </c>
      <c r="G66" t="str">
        <f t="shared" si="1"/>
        <v>W09 2025/11/08</v>
      </c>
    </row>
    <row r="67" spans="1:7">
      <c r="A67" s="3" t="str">
        <f t="shared" si="2"/>
        <v>114-1</v>
      </c>
      <c r="B67" s="3" t="str">
        <f t="shared" si="23"/>
        <v>奇門遁甲</v>
      </c>
      <c r="C67" s="3" t="str">
        <f t="shared" ref="C67" si="24">C66</f>
        <v>W09</v>
      </c>
      <c r="D67" s="4">
        <f t="shared" si="12"/>
        <v>45969</v>
      </c>
      <c r="E67" s="3" t="s">
        <v>34</v>
      </c>
      <c r="F67" t="str">
        <f t="shared" ref="F67:F129" si="25">CONCATENATE(A67,"\",B67,"\",C67," ",TEXT(D67,"yyyymmdd"))</f>
        <v>114-1\奇門遁甲\W09 20251108</v>
      </c>
      <c r="G67" t="str">
        <f t="shared" ref="G67:G129" si="26">CONCATENATE(C67," ",TEXT(D67,"yyyy/mm/dd"))</f>
        <v>W09 2025/11/08</v>
      </c>
    </row>
    <row r="68" spans="1:7">
      <c r="A68" s="3" t="str">
        <f t="shared" ref="A68:A131" si="27">A67</f>
        <v>114-1</v>
      </c>
      <c r="B68" s="3" t="str">
        <f t="shared" si="23"/>
        <v>玄空風水</v>
      </c>
      <c r="C68" s="3" t="str">
        <f t="shared" si="6"/>
        <v>W09</v>
      </c>
      <c r="D68" s="4">
        <f t="shared" si="12"/>
        <v>45969</v>
      </c>
      <c r="E68" s="3" t="s">
        <v>34</v>
      </c>
      <c r="F68" t="str">
        <f t="shared" si="25"/>
        <v>114-1\玄空風水\W09 20251108</v>
      </c>
      <c r="G68" t="str">
        <f t="shared" si="26"/>
        <v>W09 2025/11/08</v>
      </c>
    </row>
    <row r="69" spans="1:7">
      <c r="A69" s="3" t="str">
        <f t="shared" si="27"/>
        <v>114-1</v>
      </c>
      <c r="B69" s="3" t="str">
        <f t="shared" si="23"/>
        <v>擇日學</v>
      </c>
      <c r="C69" s="3" t="str">
        <f t="shared" si="6"/>
        <v>W09</v>
      </c>
      <c r="D69" s="4">
        <f t="shared" si="12"/>
        <v>45969</v>
      </c>
      <c r="E69" s="3" t="s">
        <v>34</v>
      </c>
      <c r="F69" t="str">
        <f t="shared" si="25"/>
        <v>114-1\擇日學\W09 20251108</v>
      </c>
      <c r="G69" t="str">
        <f t="shared" si="26"/>
        <v>W09 2025/11/08</v>
      </c>
    </row>
    <row r="70" spans="1:7">
      <c r="A70" s="3" t="str">
        <f t="shared" si="27"/>
        <v>114-1</v>
      </c>
      <c r="B70" s="3" t="str">
        <f t="shared" si="23"/>
        <v>道醫</v>
      </c>
      <c r="C70" s="3" t="str">
        <f t="shared" si="6"/>
        <v>W09</v>
      </c>
      <c r="D70" s="4">
        <f t="shared" si="12"/>
        <v>45970</v>
      </c>
      <c r="E70" s="3" t="s">
        <v>35</v>
      </c>
      <c r="F70" t="str">
        <f t="shared" si="25"/>
        <v>114-1\道醫\W09 20251109</v>
      </c>
      <c r="G70" t="str">
        <f t="shared" si="26"/>
        <v>W09 2025/11/09</v>
      </c>
    </row>
    <row r="71" spans="1:7">
      <c r="A71" s="3" t="str">
        <f t="shared" si="27"/>
        <v>114-1</v>
      </c>
      <c r="B71" s="3" t="str">
        <f t="shared" si="23"/>
        <v>陽宅</v>
      </c>
      <c r="C71" s="3" t="str">
        <f t="shared" si="6"/>
        <v>W09</v>
      </c>
      <c r="D71" s="4">
        <f t="shared" si="12"/>
        <v>45970</v>
      </c>
      <c r="E71" s="3" t="s">
        <v>35</v>
      </c>
      <c r="F71" t="str">
        <f t="shared" si="25"/>
        <v>114-1\陽宅\W09 20251109</v>
      </c>
      <c r="G71" t="str">
        <f t="shared" si="26"/>
        <v>W09 2025/11/09</v>
      </c>
    </row>
    <row r="72" spans="1:7">
      <c r="A72" s="3" t="str">
        <f t="shared" si="27"/>
        <v>114-1</v>
      </c>
      <c r="B72" s="3" t="str">
        <f t="shared" si="23"/>
        <v>八字論證</v>
      </c>
      <c r="C72" s="3" t="str">
        <f t="shared" si="6"/>
        <v>W09</v>
      </c>
      <c r="D72" s="4">
        <f t="shared" si="12"/>
        <v>45970</v>
      </c>
      <c r="E72" s="3" t="s">
        <v>35</v>
      </c>
      <c r="F72" t="str">
        <f t="shared" si="25"/>
        <v>114-1\八字論證\W09 20251109</v>
      </c>
      <c r="G72" t="str">
        <f t="shared" si="26"/>
        <v>W09 2025/11/09</v>
      </c>
    </row>
    <row r="73" spans="1:7">
      <c r="A73" s="3" t="str">
        <f t="shared" si="27"/>
        <v>114-1</v>
      </c>
      <c r="B73" s="3" t="s">
        <v>68</v>
      </c>
      <c r="C73" s="3" t="str">
        <f t="shared" si="6"/>
        <v>W09</v>
      </c>
      <c r="D73" s="4">
        <f t="shared" si="12"/>
        <v>45970</v>
      </c>
      <c r="E73" s="3" t="s">
        <v>35</v>
      </c>
      <c r="F73" t="str">
        <f t="shared" si="25"/>
        <v>114-1\易經論證\W09 20251109</v>
      </c>
      <c r="G73" t="str">
        <f t="shared" si="26"/>
        <v>W09 2025/11/09</v>
      </c>
    </row>
    <row r="74" spans="1:7">
      <c r="A74" s="3" t="str">
        <f t="shared" si="27"/>
        <v>114-1</v>
      </c>
      <c r="B74" s="3" t="str">
        <f t="shared" ref="B74:B80" si="28">B66</f>
        <v>道教研究專題</v>
      </c>
      <c r="C74" s="3" t="s">
        <v>78</v>
      </c>
      <c r="D74" s="4">
        <f t="shared" si="12"/>
        <v>45976</v>
      </c>
      <c r="E74" s="3" t="s">
        <v>34</v>
      </c>
      <c r="F74" t="str">
        <f t="shared" si="25"/>
        <v>114-1\道教研究專題\W10 20251115</v>
      </c>
      <c r="G74" t="str">
        <f t="shared" si="26"/>
        <v>W10 2025/11/15</v>
      </c>
    </row>
    <row r="75" spans="1:7">
      <c r="A75" s="3" t="str">
        <f t="shared" si="27"/>
        <v>114-1</v>
      </c>
      <c r="B75" s="3" t="str">
        <f t="shared" si="28"/>
        <v>奇門遁甲</v>
      </c>
      <c r="C75" s="3" t="str">
        <f t="shared" ref="C75:C137" si="29">C74</f>
        <v>W10</v>
      </c>
      <c r="D75" s="4">
        <f t="shared" si="12"/>
        <v>45976</v>
      </c>
      <c r="E75" s="3" t="s">
        <v>34</v>
      </c>
      <c r="F75" t="str">
        <f t="shared" si="25"/>
        <v>114-1\奇門遁甲\W10 20251115</v>
      </c>
      <c r="G75" t="str">
        <f t="shared" si="26"/>
        <v>W10 2025/11/15</v>
      </c>
    </row>
    <row r="76" spans="1:7">
      <c r="A76" s="3" t="str">
        <f t="shared" si="27"/>
        <v>114-1</v>
      </c>
      <c r="B76" s="3" t="str">
        <f t="shared" si="28"/>
        <v>玄空風水</v>
      </c>
      <c r="C76" s="3" t="str">
        <f t="shared" si="29"/>
        <v>W10</v>
      </c>
      <c r="D76" s="4">
        <f t="shared" si="12"/>
        <v>45976</v>
      </c>
      <c r="E76" s="3" t="s">
        <v>34</v>
      </c>
      <c r="F76" t="str">
        <f t="shared" si="25"/>
        <v>114-1\玄空風水\W10 20251115</v>
      </c>
      <c r="G76" t="str">
        <f t="shared" si="26"/>
        <v>W10 2025/11/15</v>
      </c>
    </row>
    <row r="77" spans="1:7">
      <c r="A77" s="3" t="str">
        <f t="shared" si="27"/>
        <v>114-1</v>
      </c>
      <c r="B77" s="3" t="str">
        <f t="shared" si="28"/>
        <v>擇日學</v>
      </c>
      <c r="C77" s="3" t="str">
        <f t="shared" si="29"/>
        <v>W10</v>
      </c>
      <c r="D77" s="4">
        <f t="shared" si="12"/>
        <v>45976</v>
      </c>
      <c r="E77" s="3" t="s">
        <v>34</v>
      </c>
      <c r="F77" t="str">
        <f t="shared" si="25"/>
        <v>114-1\擇日學\W10 20251115</v>
      </c>
      <c r="G77" t="str">
        <f t="shared" si="26"/>
        <v>W10 2025/11/15</v>
      </c>
    </row>
    <row r="78" spans="1:7">
      <c r="A78" s="3" t="str">
        <f t="shared" si="27"/>
        <v>114-1</v>
      </c>
      <c r="B78" s="3" t="str">
        <f t="shared" si="28"/>
        <v>道醫</v>
      </c>
      <c r="C78" s="3" t="str">
        <f t="shared" si="29"/>
        <v>W10</v>
      </c>
      <c r="D78" s="4">
        <f t="shared" si="12"/>
        <v>45977</v>
      </c>
      <c r="E78" s="3" t="s">
        <v>35</v>
      </c>
      <c r="F78" t="str">
        <f t="shared" si="25"/>
        <v>114-1\道醫\W10 20251116</v>
      </c>
      <c r="G78" t="str">
        <f t="shared" si="26"/>
        <v>W10 2025/11/16</v>
      </c>
    </row>
    <row r="79" spans="1:7">
      <c r="A79" s="3" t="str">
        <f t="shared" si="27"/>
        <v>114-1</v>
      </c>
      <c r="B79" s="3" t="str">
        <f t="shared" si="28"/>
        <v>陽宅</v>
      </c>
      <c r="C79" s="3" t="str">
        <f t="shared" si="29"/>
        <v>W10</v>
      </c>
      <c r="D79" s="4">
        <f t="shared" si="12"/>
        <v>45977</v>
      </c>
      <c r="E79" s="3" t="s">
        <v>35</v>
      </c>
      <c r="F79" t="str">
        <f t="shared" si="25"/>
        <v>114-1\陽宅\W10 20251116</v>
      </c>
      <c r="G79" t="str">
        <f t="shared" si="26"/>
        <v>W10 2025/11/16</v>
      </c>
    </row>
    <row r="80" spans="1:7">
      <c r="A80" s="3" t="str">
        <f t="shared" si="27"/>
        <v>114-1</v>
      </c>
      <c r="B80" s="3" t="str">
        <f t="shared" si="28"/>
        <v>八字論證</v>
      </c>
      <c r="C80" s="3" t="str">
        <f t="shared" si="29"/>
        <v>W10</v>
      </c>
      <c r="D80" s="4">
        <f t="shared" si="12"/>
        <v>45977</v>
      </c>
      <c r="E80" s="3" t="s">
        <v>35</v>
      </c>
      <c r="F80" t="str">
        <f t="shared" si="25"/>
        <v>114-1\八字論證\W10 20251116</v>
      </c>
      <c r="G80" t="str">
        <f t="shared" si="26"/>
        <v>W10 2025/11/16</v>
      </c>
    </row>
    <row r="81" spans="1:7">
      <c r="A81" s="3" t="str">
        <f t="shared" si="27"/>
        <v>114-1</v>
      </c>
      <c r="B81" s="3" t="s">
        <v>68</v>
      </c>
      <c r="C81" s="3" t="str">
        <f t="shared" si="29"/>
        <v>W10</v>
      </c>
      <c r="D81" s="4">
        <f t="shared" si="12"/>
        <v>45977</v>
      </c>
      <c r="E81" s="3" t="s">
        <v>35</v>
      </c>
      <c r="F81" t="str">
        <f t="shared" si="25"/>
        <v>114-1\易經論證\W10 20251116</v>
      </c>
      <c r="G81" t="str">
        <f t="shared" si="26"/>
        <v>W10 2025/11/16</v>
      </c>
    </row>
    <row r="82" spans="1:7">
      <c r="A82" s="3" t="str">
        <f t="shared" si="27"/>
        <v>114-1</v>
      </c>
      <c r="B82" s="3" t="str">
        <f t="shared" ref="B82:B88" si="30">B74</f>
        <v>道教研究專題</v>
      </c>
      <c r="C82" s="3" t="s">
        <v>79</v>
      </c>
      <c r="D82" s="4">
        <f t="shared" si="12"/>
        <v>45983</v>
      </c>
      <c r="E82" s="3" t="s">
        <v>34</v>
      </c>
      <c r="F82" t="str">
        <f t="shared" si="25"/>
        <v>114-1\道教研究專題\W11 20251122</v>
      </c>
      <c r="G82" t="str">
        <f t="shared" si="26"/>
        <v>W11 2025/11/22</v>
      </c>
    </row>
    <row r="83" spans="1:7">
      <c r="A83" s="3" t="str">
        <f t="shared" si="27"/>
        <v>114-1</v>
      </c>
      <c r="B83" s="3" t="str">
        <f t="shared" si="30"/>
        <v>奇門遁甲</v>
      </c>
      <c r="C83" s="3" t="str">
        <f t="shared" ref="C83" si="31">C82</f>
        <v>W11</v>
      </c>
      <c r="D83" s="4">
        <f t="shared" si="12"/>
        <v>45983</v>
      </c>
      <c r="E83" s="3" t="s">
        <v>34</v>
      </c>
      <c r="F83" t="str">
        <f t="shared" si="25"/>
        <v>114-1\奇門遁甲\W11 20251122</v>
      </c>
      <c r="G83" t="str">
        <f t="shared" si="26"/>
        <v>W11 2025/11/22</v>
      </c>
    </row>
    <row r="84" spans="1:7">
      <c r="A84" s="3" t="str">
        <f t="shared" si="27"/>
        <v>114-1</v>
      </c>
      <c r="B84" s="3" t="str">
        <f t="shared" si="30"/>
        <v>玄空風水</v>
      </c>
      <c r="C84" s="3" t="str">
        <f t="shared" si="29"/>
        <v>W11</v>
      </c>
      <c r="D84" s="4">
        <f t="shared" si="12"/>
        <v>45983</v>
      </c>
      <c r="E84" s="3" t="s">
        <v>34</v>
      </c>
      <c r="F84" t="str">
        <f t="shared" si="25"/>
        <v>114-1\玄空風水\W11 20251122</v>
      </c>
      <c r="G84" t="str">
        <f t="shared" si="26"/>
        <v>W11 2025/11/22</v>
      </c>
    </row>
    <row r="85" spans="1:7">
      <c r="A85" s="3" t="str">
        <f t="shared" si="27"/>
        <v>114-1</v>
      </c>
      <c r="B85" s="3" t="str">
        <f t="shared" si="30"/>
        <v>擇日學</v>
      </c>
      <c r="C85" s="3" t="str">
        <f t="shared" si="29"/>
        <v>W11</v>
      </c>
      <c r="D85" s="4">
        <f t="shared" si="12"/>
        <v>45983</v>
      </c>
      <c r="E85" s="3" t="s">
        <v>34</v>
      </c>
      <c r="F85" t="str">
        <f t="shared" si="25"/>
        <v>114-1\擇日學\W11 20251122</v>
      </c>
      <c r="G85" t="str">
        <f t="shared" si="26"/>
        <v>W11 2025/11/22</v>
      </c>
    </row>
    <row r="86" spans="1:7">
      <c r="A86" s="3" t="str">
        <f t="shared" si="27"/>
        <v>114-1</v>
      </c>
      <c r="B86" s="3" t="str">
        <f t="shared" si="30"/>
        <v>道醫</v>
      </c>
      <c r="C86" s="3" t="str">
        <f t="shared" si="29"/>
        <v>W11</v>
      </c>
      <c r="D86" s="4">
        <f t="shared" si="12"/>
        <v>45984</v>
      </c>
      <c r="E86" s="3" t="s">
        <v>35</v>
      </c>
      <c r="F86" t="str">
        <f t="shared" si="25"/>
        <v>114-1\道醫\W11 20251123</v>
      </c>
      <c r="G86" t="str">
        <f t="shared" si="26"/>
        <v>W11 2025/11/23</v>
      </c>
    </row>
    <row r="87" spans="1:7">
      <c r="A87" s="3" t="str">
        <f t="shared" si="27"/>
        <v>114-1</v>
      </c>
      <c r="B87" s="3" t="str">
        <f t="shared" si="30"/>
        <v>陽宅</v>
      </c>
      <c r="C87" s="3" t="str">
        <f t="shared" si="29"/>
        <v>W11</v>
      </c>
      <c r="D87" s="4">
        <f t="shared" ref="D87:D150" si="32">D79+7</f>
        <v>45984</v>
      </c>
      <c r="E87" s="3" t="s">
        <v>35</v>
      </c>
      <c r="F87" t="str">
        <f t="shared" si="25"/>
        <v>114-1\陽宅\W11 20251123</v>
      </c>
      <c r="G87" t="str">
        <f t="shared" si="26"/>
        <v>W11 2025/11/23</v>
      </c>
    </row>
    <row r="88" spans="1:7">
      <c r="A88" s="3" t="str">
        <f t="shared" si="27"/>
        <v>114-1</v>
      </c>
      <c r="B88" s="3" t="str">
        <f t="shared" si="30"/>
        <v>八字論證</v>
      </c>
      <c r="C88" s="3" t="str">
        <f t="shared" si="29"/>
        <v>W11</v>
      </c>
      <c r="D88" s="4">
        <f t="shared" si="32"/>
        <v>45984</v>
      </c>
      <c r="E88" s="3" t="s">
        <v>35</v>
      </c>
      <c r="F88" t="str">
        <f t="shared" si="25"/>
        <v>114-1\八字論證\W11 20251123</v>
      </c>
      <c r="G88" t="str">
        <f t="shared" si="26"/>
        <v>W11 2025/11/23</v>
      </c>
    </row>
    <row r="89" spans="1:7">
      <c r="A89" s="3" t="str">
        <f t="shared" si="27"/>
        <v>114-1</v>
      </c>
      <c r="B89" s="3" t="s">
        <v>68</v>
      </c>
      <c r="C89" s="3" t="str">
        <f t="shared" si="29"/>
        <v>W11</v>
      </c>
      <c r="D89" s="4">
        <f t="shared" si="32"/>
        <v>45984</v>
      </c>
      <c r="E89" s="3" t="s">
        <v>35</v>
      </c>
      <c r="F89" t="str">
        <f t="shared" si="25"/>
        <v>114-1\易經論證\W11 20251123</v>
      </c>
      <c r="G89" t="str">
        <f t="shared" si="26"/>
        <v>W11 2025/11/23</v>
      </c>
    </row>
    <row r="90" spans="1:7">
      <c r="A90" s="3" t="str">
        <f t="shared" si="27"/>
        <v>114-1</v>
      </c>
      <c r="B90" s="3" t="str">
        <f t="shared" ref="B90:B96" si="33">B82</f>
        <v>道教研究專題</v>
      </c>
      <c r="C90" s="3" t="s">
        <v>80</v>
      </c>
      <c r="D90" s="4">
        <f t="shared" si="32"/>
        <v>45990</v>
      </c>
      <c r="E90" s="3" t="s">
        <v>34</v>
      </c>
      <c r="F90" t="str">
        <f t="shared" si="25"/>
        <v>114-1\道教研究專題\W12 20251129</v>
      </c>
      <c r="G90" t="str">
        <f t="shared" si="26"/>
        <v>W12 2025/11/29</v>
      </c>
    </row>
    <row r="91" spans="1:7">
      <c r="A91" s="3" t="str">
        <f t="shared" si="27"/>
        <v>114-1</v>
      </c>
      <c r="B91" s="3" t="str">
        <f t="shared" si="33"/>
        <v>奇門遁甲</v>
      </c>
      <c r="C91" s="3" t="str">
        <f t="shared" ref="C91" si="34">C90</f>
        <v>W12</v>
      </c>
      <c r="D91" s="4">
        <f t="shared" si="32"/>
        <v>45990</v>
      </c>
      <c r="E91" s="3" t="s">
        <v>34</v>
      </c>
      <c r="F91" t="str">
        <f t="shared" si="25"/>
        <v>114-1\奇門遁甲\W12 20251129</v>
      </c>
      <c r="G91" t="str">
        <f t="shared" si="26"/>
        <v>W12 2025/11/29</v>
      </c>
    </row>
    <row r="92" spans="1:7">
      <c r="A92" s="3" t="str">
        <f t="shared" si="27"/>
        <v>114-1</v>
      </c>
      <c r="B92" s="3" t="str">
        <f t="shared" si="33"/>
        <v>玄空風水</v>
      </c>
      <c r="C92" s="3" t="str">
        <f t="shared" si="29"/>
        <v>W12</v>
      </c>
      <c r="D92" s="4">
        <f t="shared" si="32"/>
        <v>45990</v>
      </c>
      <c r="E92" s="3" t="s">
        <v>34</v>
      </c>
      <c r="F92" t="str">
        <f t="shared" si="25"/>
        <v>114-1\玄空風水\W12 20251129</v>
      </c>
      <c r="G92" t="str">
        <f t="shared" si="26"/>
        <v>W12 2025/11/29</v>
      </c>
    </row>
    <row r="93" spans="1:7">
      <c r="A93" s="3" t="str">
        <f t="shared" si="27"/>
        <v>114-1</v>
      </c>
      <c r="B93" s="3" t="str">
        <f t="shared" si="33"/>
        <v>擇日學</v>
      </c>
      <c r="C93" s="3" t="str">
        <f t="shared" si="29"/>
        <v>W12</v>
      </c>
      <c r="D93" s="4">
        <f t="shared" si="32"/>
        <v>45990</v>
      </c>
      <c r="E93" s="3" t="s">
        <v>34</v>
      </c>
      <c r="F93" t="str">
        <f t="shared" si="25"/>
        <v>114-1\擇日學\W12 20251129</v>
      </c>
      <c r="G93" t="str">
        <f t="shared" si="26"/>
        <v>W12 2025/11/29</v>
      </c>
    </row>
    <row r="94" spans="1:7">
      <c r="A94" s="3" t="str">
        <f t="shared" si="27"/>
        <v>114-1</v>
      </c>
      <c r="B94" s="3" t="str">
        <f t="shared" si="33"/>
        <v>道醫</v>
      </c>
      <c r="C94" s="3" t="str">
        <f t="shared" si="29"/>
        <v>W12</v>
      </c>
      <c r="D94" s="4">
        <f t="shared" si="32"/>
        <v>45991</v>
      </c>
      <c r="E94" s="3" t="s">
        <v>35</v>
      </c>
      <c r="F94" t="str">
        <f t="shared" si="25"/>
        <v>114-1\道醫\W12 20251130</v>
      </c>
      <c r="G94" t="str">
        <f t="shared" si="26"/>
        <v>W12 2025/11/30</v>
      </c>
    </row>
    <row r="95" spans="1:7">
      <c r="A95" s="3" t="str">
        <f t="shared" si="27"/>
        <v>114-1</v>
      </c>
      <c r="B95" s="3" t="str">
        <f t="shared" si="33"/>
        <v>陽宅</v>
      </c>
      <c r="C95" s="3" t="str">
        <f t="shared" si="29"/>
        <v>W12</v>
      </c>
      <c r="D95" s="4">
        <f t="shared" si="32"/>
        <v>45991</v>
      </c>
      <c r="E95" s="3" t="s">
        <v>35</v>
      </c>
      <c r="F95" t="str">
        <f t="shared" si="25"/>
        <v>114-1\陽宅\W12 20251130</v>
      </c>
      <c r="G95" t="str">
        <f t="shared" si="26"/>
        <v>W12 2025/11/30</v>
      </c>
    </row>
    <row r="96" spans="1:7">
      <c r="A96" s="3" t="str">
        <f t="shared" si="27"/>
        <v>114-1</v>
      </c>
      <c r="B96" s="3" t="str">
        <f t="shared" si="33"/>
        <v>八字論證</v>
      </c>
      <c r="C96" s="3" t="str">
        <f t="shared" si="29"/>
        <v>W12</v>
      </c>
      <c r="D96" s="4">
        <f t="shared" si="32"/>
        <v>45991</v>
      </c>
      <c r="E96" s="3" t="s">
        <v>35</v>
      </c>
      <c r="F96" t="str">
        <f t="shared" si="25"/>
        <v>114-1\八字論證\W12 20251130</v>
      </c>
      <c r="G96" t="str">
        <f t="shared" si="26"/>
        <v>W12 2025/11/30</v>
      </c>
    </row>
    <row r="97" spans="1:7">
      <c r="A97" s="3" t="str">
        <f t="shared" si="27"/>
        <v>114-1</v>
      </c>
      <c r="B97" s="3" t="s">
        <v>68</v>
      </c>
      <c r="C97" s="3" t="str">
        <f t="shared" si="29"/>
        <v>W12</v>
      </c>
      <c r="D97" s="4">
        <f t="shared" si="32"/>
        <v>45991</v>
      </c>
      <c r="E97" s="3" t="s">
        <v>35</v>
      </c>
      <c r="F97" t="str">
        <f t="shared" si="25"/>
        <v>114-1\易經論證\W12 20251130</v>
      </c>
      <c r="G97" t="str">
        <f t="shared" si="26"/>
        <v>W12 2025/11/30</v>
      </c>
    </row>
    <row r="98" spans="1:7">
      <c r="A98" s="3" t="str">
        <f t="shared" si="27"/>
        <v>114-1</v>
      </c>
      <c r="B98" s="3" t="str">
        <f t="shared" ref="B98:B104" si="35">B90</f>
        <v>道教研究專題</v>
      </c>
      <c r="C98" s="3" t="s">
        <v>81</v>
      </c>
      <c r="D98" s="4">
        <f t="shared" si="32"/>
        <v>45997</v>
      </c>
      <c r="E98" s="3" t="s">
        <v>34</v>
      </c>
      <c r="F98" t="str">
        <f t="shared" si="25"/>
        <v>114-1\道教研究專題\W13 20251206</v>
      </c>
      <c r="G98" t="str">
        <f t="shared" si="26"/>
        <v>W13 2025/12/06</v>
      </c>
    </row>
    <row r="99" spans="1:7">
      <c r="A99" s="3" t="str">
        <f t="shared" si="27"/>
        <v>114-1</v>
      </c>
      <c r="B99" s="3" t="str">
        <f t="shared" si="35"/>
        <v>奇門遁甲</v>
      </c>
      <c r="C99" s="3" t="str">
        <f t="shared" ref="C99" si="36">C98</f>
        <v>W13</v>
      </c>
      <c r="D99" s="4">
        <f t="shared" si="32"/>
        <v>45997</v>
      </c>
      <c r="E99" s="3" t="s">
        <v>34</v>
      </c>
      <c r="F99" t="str">
        <f t="shared" si="25"/>
        <v>114-1\奇門遁甲\W13 20251206</v>
      </c>
      <c r="G99" t="str">
        <f t="shared" si="26"/>
        <v>W13 2025/12/06</v>
      </c>
    </row>
    <row r="100" spans="1:7">
      <c r="A100" s="3" t="str">
        <f t="shared" si="27"/>
        <v>114-1</v>
      </c>
      <c r="B100" s="3" t="str">
        <f t="shared" si="35"/>
        <v>玄空風水</v>
      </c>
      <c r="C100" s="3" t="str">
        <f t="shared" si="29"/>
        <v>W13</v>
      </c>
      <c r="D100" s="4">
        <f t="shared" si="32"/>
        <v>45997</v>
      </c>
      <c r="E100" s="3" t="s">
        <v>34</v>
      </c>
      <c r="F100" t="str">
        <f t="shared" si="25"/>
        <v>114-1\玄空風水\W13 20251206</v>
      </c>
      <c r="G100" t="str">
        <f t="shared" si="26"/>
        <v>W13 2025/12/06</v>
      </c>
    </row>
    <row r="101" spans="1:7">
      <c r="A101" s="3" t="str">
        <f t="shared" si="27"/>
        <v>114-1</v>
      </c>
      <c r="B101" s="3" t="str">
        <f t="shared" si="35"/>
        <v>擇日學</v>
      </c>
      <c r="C101" s="3" t="str">
        <f t="shared" si="29"/>
        <v>W13</v>
      </c>
      <c r="D101" s="4">
        <f t="shared" si="32"/>
        <v>45997</v>
      </c>
      <c r="E101" s="3" t="s">
        <v>34</v>
      </c>
      <c r="F101" t="str">
        <f t="shared" si="25"/>
        <v>114-1\擇日學\W13 20251206</v>
      </c>
      <c r="G101" t="str">
        <f t="shared" si="26"/>
        <v>W13 2025/12/06</v>
      </c>
    </row>
    <row r="102" spans="1:7">
      <c r="A102" s="3" t="str">
        <f t="shared" si="27"/>
        <v>114-1</v>
      </c>
      <c r="B102" s="3" t="str">
        <f t="shared" si="35"/>
        <v>道醫</v>
      </c>
      <c r="C102" s="3" t="str">
        <f t="shared" si="29"/>
        <v>W13</v>
      </c>
      <c r="D102" s="4">
        <f t="shared" si="32"/>
        <v>45998</v>
      </c>
      <c r="E102" s="3" t="s">
        <v>35</v>
      </c>
      <c r="F102" t="str">
        <f t="shared" si="25"/>
        <v>114-1\道醫\W13 20251207</v>
      </c>
      <c r="G102" t="str">
        <f t="shared" si="26"/>
        <v>W13 2025/12/07</v>
      </c>
    </row>
    <row r="103" spans="1:7">
      <c r="A103" s="3" t="str">
        <f t="shared" si="27"/>
        <v>114-1</v>
      </c>
      <c r="B103" s="3" t="str">
        <f t="shared" si="35"/>
        <v>陽宅</v>
      </c>
      <c r="C103" s="3" t="str">
        <f t="shared" si="29"/>
        <v>W13</v>
      </c>
      <c r="D103" s="4">
        <f t="shared" si="32"/>
        <v>45998</v>
      </c>
      <c r="E103" s="3" t="s">
        <v>35</v>
      </c>
      <c r="F103" t="str">
        <f t="shared" si="25"/>
        <v>114-1\陽宅\W13 20251207</v>
      </c>
      <c r="G103" t="str">
        <f t="shared" si="26"/>
        <v>W13 2025/12/07</v>
      </c>
    </row>
    <row r="104" spans="1:7">
      <c r="A104" s="3" t="str">
        <f t="shared" si="27"/>
        <v>114-1</v>
      </c>
      <c r="B104" s="3" t="str">
        <f t="shared" si="35"/>
        <v>八字論證</v>
      </c>
      <c r="C104" s="3" t="str">
        <f t="shared" si="29"/>
        <v>W13</v>
      </c>
      <c r="D104" s="4">
        <f t="shared" si="32"/>
        <v>45998</v>
      </c>
      <c r="E104" s="3" t="s">
        <v>35</v>
      </c>
      <c r="F104" t="str">
        <f t="shared" si="25"/>
        <v>114-1\八字論證\W13 20251207</v>
      </c>
      <c r="G104" t="str">
        <f t="shared" si="26"/>
        <v>W13 2025/12/07</v>
      </c>
    </row>
    <row r="105" spans="1:7">
      <c r="A105" s="3" t="str">
        <f t="shared" si="27"/>
        <v>114-1</v>
      </c>
      <c r="B105" s="3" t="s">
        <v>68</v>
      </c>
      <c r="C105" s="3" t="str">
        <f t="shared" si="29"/>
        <v>W13</v>
      </c>
      <c r="D105" s="4">
        <f t="shared" si="32"/>
        <v>45998</v>
      </c>
      <c r="E105" s="3" t="s">
        <v>35</v>
      </c>
      <c r="F105" t="str">
        <f t="shared" si="25"/>
        <v>114-1\易經論證\W13 20251207</v>
      </c>
      <c r="G105" t="str">
        <f t="shared" si="26"/>
        <v>W13 2025/12/07</v>
      </c>
    </row>
    <row r="106" spans="1:7">
      <c r="A106" s="3" t="str">
        <f t="shared" si="27"/>
        <v>114-1</v>
      </c>
      <c r="B106" s="3" t="str">
        <f t="shared" ref="B106:B112" si="37">B98</f>
        <v>道教研究專題</v>
      </c>
      <c r="C106" s="3" t="s">
        <v>82</v>
      </c>
      <c r="D106" s="4">
        <f t="shared" si="32"/>
        <v>46004</v>
      </c>
      <c r="E106" s="3" t="s">
        <v>34</v>
      </c>
      <c r="F106" t="str">
        <f t="shared" si="25"/>
        <v>114-1\道教研究專題\W14 20251213</v>
      </c>
      <c r="G106" t="str">
        <f t="shared" si="26"/>
        <v>W14 2025/12/13</v>
      </c>
    </row>
    <row r="107" spans="1:7">
      <c r="A107" s="3" t="str">
        <f t="shared" si="27"/>
        <v>114-1</v>
      </c>
      <c r="B107" s="3" t="str">
        <f t="shared" si="37"/>
        <v>奇門遁甲</v>
      </c>
      <c r="C107" s="3" t="str">
        <f t="shared" ref="C107" si="38">C106</f>
        <v>W14</v>
      </c>
      <c r="D107" s="4">
        <f t="shared" si="32"/>
        <v>46004</v>
      </c>
      <c r="E107" s="3" t="s">
        <v>34</v>
      </c>
      <c r="F107" t="str">
        <f t="shared" si="25"/>
        <v>114-1\奇門遁甲\W14 20251213</v>
      </c>
      <c r="G107" t="str">
        <f t="shared" si="26"/>
        <v>W14 2025/12/13</v>
      </c>
    </row>
    <row r="108" spans="1:7">
      <c r="A108" s="3" t="str">
        <f t="shared" si="27"/>
        <v>114-1</v>
      </c>
      <c r="B108" s="3" t="str">
        <f t="shared" si="37"/>
        <v>玄空風水</v>
      </c>
      <c r="C108" s="3" t="str">
        <f t="shared" si="29"/>
        <v>W14</v>
      </c>
      <c r="D108" s="4">
        <f t="shared" si="32"/>
        <v>46004</v>
      </c>
      <c r="E108" s="3" t="s">
        <v>34</v>
      </c>
      <c r="F108" t="str">
        <f t="shared" si="25"/>
        <v>114-1\玄空風水\W14 20251213</v>
      </c>
      <c r="G108" t="str">
        <f t="shared" si="26"/>
        <v>W14 2025/12/13</v>
      </c>
    </row>
    <row r="109" spans="1:7">
      <c r="A109" s="3" t="str">
        <f t="shared" si="27"/>
        <v>114-1</v>
      </c>
      <c r="B109" s="3" t="str">
        <f t="shared" si="37"/>
        <v>擇日學</v>
      </c>
      <c r="C109" s="3" t="str">
        <f t="shared" si="29"/>
        <v>W14</v>
      </c>
      <c r="D109" s="4">
        <f t="shared" si="32"/>
        <v>46004</v>
      </c>
      <c r="E109" s="3" t="s">
        <v>34</v>
      </c>
      <c r="F109" t="str">
        <f t="shared" si="25"/>
        <v>114-1\擇日學\W14 20251213</v>
      </c>
      <c r="G109" t="str">
        <f t="shared" si="26"/>
        <v>W14 2025/12/13</v>
      </c>
    </row>
    <row r="110" spans="1:7">
      <c r="A110" s="3" t="str">
        <f t="shared" si="27"/>
        <v>114-1</v>
      </c>
      <c r="B110" s="3" t="str">
        <f t="shared" si="37"/>
        <v>道醫</v>
      </c>
      <c r="C110" s="3" t="str">
        <f t="shared" si="29"/>
        <v>W14</v>
      </c>
      <c r="D110" s="4">
        <f t="shared" si="32"/>
        <v>46005</v>
      </c>
      <c r="E110" s="3" t="s">
        <v>35</v>
      </c>
      <c r="F110" t="str">
        <f t="shared" si="25"/>
        <v>114-1\道醫\W14 20251214</v>
      </c>
      <c r="G110" t="str">
        <f t="shared" si="26"/>
        <v>W14 2025/12/14</v>
      </c>
    </row>
    <row r="111" spans="1:7">
      <c r="A111" s="3" t="str">
        <f t="shared" si="27"/>
        <v>114-1</v>
      </c>
      <c r="B111" s="3" t="str">
        <f t="shared" si="37"/>
        <v>陽宅</v>
      </c>
      <c r="C111" s="3" t="str">
        <f t="shared" si="29"/>
        <v>W14</v>
      </c>
      <c r="D111" s="4">
        <f t="shared" si="32"/>
        <v>46005</v>
      </c>
      <c r="E111" s="3" t="s">
        <v>35</v>
      </c>
      <c r="F111" t="str">
        <f t="shared" si="25"/>
        <v>114-1\陽宅\W14 20251214</v>
      </c>
      <c r="G111" t="str">
        <f t="shared" si="26"/>
        <v>W14 2025/12/14</v>
      </c>
    </row>
    <row r="112" spans="1:7">
      <c r="A112" s="3" t="str">
        <f t="shared" si="27"/>
        <v>114-1</v>
      </c>
      <c r="B112" s="3" t="str">
        <f t="shared" si="37"/>
        <v>八字論證</v>
      </c>
      <c r="C112" s="3" t="str">
        <f t="shared" si="29"/>
        <v>W14</v>
      </c>
      <c r="D112" s="4">
        <f t="shared" si="32"/>
        <v>46005</v>
      </c>
      <c r="E112" s="3" t="s">
        <v>35</v>
      </c>
      <c r="F112" t="str">
        <f t="shared" si="25"/>
        <v>114-1\八字論證\W14 20251214</v>
      </c>
      <c r="G112" t="str">
        <f t="shared" si="26"/>
        <v>W14 2025/12/14</v>
      </c>
    </row>
    <row r="113" spans="1:7">
      <c r="A113" s="3" t="str">
        <f t="shared" si="27"/>
        <v>114-1</v>
      </c>
      <c r="B113" s="3" t="s">
        <v>68</v>
      </c>
      <c r="C113" s="3" t="str">
        <f t="shared" si="29"/>
        <v>W14</v>
      </c>
      <c r="D113" s="4">
        <f t="shared" si="32"/>
        <v>46005</v>
      </c>
      <c r="E113" s="3" t="s">
        <v>35</v>
      </c>
      <c r="F113" t="str">
        <f t="shared" si="25"/>
        <v>114-1\易經論證\W14 20251214</v>
      </c>
      <c r="G113" t="str">
        <f t="shared" si="26"/>
        <v>W14 2025/12/14</v>
      </c>
    </row>
    <row r="114" spans="1:7">
      <c r="A114" s="3" t="str">
        <f t="shared" si="27"/>
        <v>114-1</v>
      </c>
      <c r="B114" s="3" t="str">
        <f t="shared" ref="B114:B120" si="39">B106</f>
        <v>道教研究專題</v>
      </c>
      <c r="C114" s="3" t="s">
        <v>83</v>
      </c>
      <c r="D114" s="4">
        <f t="shared" si="32"/>
        <v>46011</v>
      </c>
      <c r="E114" s="3" t="s">
        <v>34</v>
      </c>
      <c r="F114" t="str">
        <f t="shared" si="25"/>
        <v>114-1\道教研究專題\W15 20251220</v>
      </c>
      <c r="G114" t="str">
        <f t="shared" si="26"/>
        <v>W15 2025/12/20</v>
      </c>
    </row>
    <row r="115" spans="1:7">
      <c r="A115" s="3" t="str">
        <f t="shared" si="27"/>
        <v>114-1</v>
      </c>
      <c r="B115" s="3" t="str">
        <f t="shared" si="39"/>
        <v>奇門遁甲</v>
      </c>
      <c r="C115" s="3" t="str">
        <f t="shared" ref="C115" si="40">C114</f>
        <v>W15</v>
      </c>
      <c r="D115" s="4">
        <f t="shared" si="32"/>
        <v>46011</v>
      </c>
      <c r="E115" s="3" t="s">
        <v>34</v>
      </c>
      <c r="F115" t="str">
        <f t="shared" si="25"/>
        <v>114-1\奇門遁甲\W15 20251220</v>
      </c>
      <c r="G115" t="str">
        <f t="shared" si="26"/>
        <v>W15 2025/12/20</v>
      </c>
    </row>
    <row r="116" spans="1:7">
      <c r="A116" s="3" t="str">
        <f t="shared" si="27"/>
        <v>114-1</v>
      </c>
      <c r="B116" s="3" t="str">
        <f t="shared" si="39"/>
        <v>玄空風水</v>
      </c>
      <c r="C116" s="3" t="str">
        <f t="shared" si="29"/>
        <v>W15</v>
      </c>
      <c r="D116" s="4">
        <f t="shared" si="32"/>
        <v>46011</v>
      </c>
      <c r="E116" s="3" t="s">
        <v>34</v>
      </c>
      <c r="F116" t="str">
        <f t="shared" si="25"/>
        <v>114-1\玄空風水\W15 20251220</v>
      </c>
      <c r="G116" t="str">
        <f t="shared" si="26"/>
        <v>W15 2025/12/20</v>
      </c>
    </row>
    <row r="117" spans="1:7">
      <c r="A117" s="3" t="str">
        <f t="shared" si="27"/>
        <v>114-1</v>
      </c>
      <c r="B117" s="3" t="str">
        <f t="shared" si="39"/>
        <v>擇日學</v>
      </c>
      <c r="C117" s="3" t="str">
        <f t="shared" si="29"/>
        <v>W15</v>
      </c>
      <c r="D117" s="4">
        <f t="shared" si="32"/>
        <v>46011</v>
      </c>
      <c r="E117" s="3" t="s">
        <v>34</v>
      </c>
      <c r="F117" t="str">
        <f t="shared" si="25"/>
        <v>114-1\擇日學\W15 20251220</v>
      </c>
      <c r="G117" t="str">
        <f t="shared" si="26"/>
        <v>W15 2025/12/20</v>
      </c>
    </row>
    <row r="118" spans="1:7">
      <c r="A118" s="3" t="str">
        <f t="shared" si="27"/>
        <v>114-1</v>
      </c>
      <c r="B118" s="3" t="str">
        <f t="shared" si="39"/>
        <v>道醫</v>
      </c>
      <c r="C118" s="3" t="str">
        <f t="shared" si="29"/>
        <v>W15</v>
      </c>
      <c r="D118" s="4">
        <f t="shared" si="32"/>
        <v>46012</v>
      </c>
      <c r="E118" s="3" t="s">
        <v>35</v>
      </c>
      <c r="F118" t="str">
        <f t="shared" si="25"/>
        <v>114-1\道醫\W15 20251221</v>
      </c>
      <c r="G118" t="str">
        <f t="shared" si="26"/>
        <v>W15 2025/12/21</v>
      </c>
    </row>
    <row r="119" spans="1:7">
      <c r="A119" s="3" t="str">
        <f t="shared" si="27"/>
        <v>114-1</v>
      </c>
      <c r="B119" s="3" t="str">
        <f t="shared" si="39"/>
        <v>陽宅</v>
      </c>
      <c r="C119" s="3" t="str">
        <f t="shared" si="29"/>
        <v>W15</v>
      </c>
      <c r="D119" s="4">
        <f t="shared" si="32"/>
        <v>46012</v>
      </c>
      <c r="E119" s="3" t="s">
        <v>35</v>
      </c>
      <c r="F119" t="str">
        <f t="shared" si="25"/>
        <v>114-1\陽宅\W15 20251221</v>
      </c>
      <c r="G119" t="str">
        <f t="shared" si="26"/>
        <v>W15 2025/12/21</v>
      </c>
    </row>
    <row r="120" spans="1:7">
      <c r="A120" s="3" t="str">
        <f t="shared" si="27"/>
        <v>114-1</v>
      </c>
      <c r="B120" s="3" t="str">
        <f t="shared" si="39"/>
        <v>八字論證</v>
      </c>
      <c r="C120" s="3" t="str">
        <f t="shared" si="29"/>
        <v>W15</v>
      </c>
      <c r="D120" s="4">
        <f t="shared" si="32"/>
        <v>46012</v>
      </c>
      <c r="E120" s="3" t="s">
        <v>35</v>
      </c>
      <c r="F120" t="str">
        <f t="shared" si="25"/>
        <v>114-1\八字論證\W15 20251221</v>
      </c>
      <c r="G120" t="str">
        <f t="shared" si="26"/>
        <v>W15 2025/12/21</v>
      </c>
    </row>
    <row r="121" spans="1:7">
      <c r="A121" s="3" t="str">
        <f t="shared" si="27"/>
        <v>114-1</v>
      </c>
      <c r="B121" s="3" t="s">
        <v>68</v>
      </c>
      <c r="C121" s="3" t="str">
        <f t="shared" si="29"/>
        <v>W15</v>
      </c>
      <c r="D121" s="4">
        <f t="shared" si="32"/>
        <v>46012</v>
      </c>
      <c r="E121" s="3" t="s">
        <v>35</v>
      </c>
      <c r="F121" t="str">
        <f t="shared" si="25"/>
        <v>114-1\易經論證\W15 20251221</v>
      </c>
      <c r="G121" t="str">
        <f t="shared" si="26"/>
        <v>W15 2025/12/21</v>
      </c>
    </row>
    <row r="122" spans="1:7">
      <c r="A122" s="3" t="str">
        <f t="shared" si="27"/>
        <v>114-1</v>
      </c>
      <c r="B122" s="3" t="str">
        <f t="shared" ref="B122:B128" si="41">B114</f>
        <v>道教研究專題</v>
      </c>
      <c r="C122" s="3" t="s">
        <v>84</v>
      </c>
      <c r="D122" s="4">
        <f t="shared" si="32"/>
        <v>46018</v>
      </c>
      <c r="E122" s="3" t="s">
        <v>34</v>
      </c>
      <c r="F122" t="str">
        <f t="shared" si="25"/>
        <v>114-1\道教研究專題\W16 20251227</v>
      </c>
      <c r="G122" t="str">
        <f t="shared" si="26"/>
        <v>W16 2025/12/27</v>
      </c>
    </row>
    <row r="123" spans="1:7">
      <c r="A123" s="3" t="str">
        <f t="shared" si="27"/>
        <v>114-1</v>
      </c>
      <c r="B123" s="3" t="str">
        <f t="shared" si="41"/>
        <v>奇門遁甲</v>
      </c>
      <c r="C123" s="3" t="str">
        <f t="shared" ref="C123" si="42">C122</f>
        <v>W16</v>
      </c>
      <c r="D123" s="4">
        <f t="shared" si="32"/>
        <v>46018</v>
      </c>
      <c r="E123" s="3" t="s">
        <v>34</v>
      </c>
      <c r="F123" t="str">
        <f t="shared" si="25"/>
        <v>114-1\奇門遁甲\W16 20251227</v>
      </c>
      <c r="G123" t="str">
        <f t="shared" si="26"/>
        <v>W16 2025/12/27</v>
      </c>
    </row>
    <row r="124" spans="1:7">
      <c r="A124" s="3" t="str">
        <f t="shared" si="27"/>
        <v>114-1</v>
      </c>
      <c r="B124" s="3" t="str">
        <f t="shared" si="41"/>
        <v>玄空風水</v>
      </c>
      <c r="C124" s="3" t="str">
        <f t="shared" si="29"/>
        <v>W16</v>
      </c>
      <c r="D124" s="4">
        <f t="shared" si="32"/>
        <v>46018</v>
      </c>
      <c r="E124" s="3" t="s">
        <v>34</v>
      </c>
      <c r="F124" t="str">
        <f t="shared" si="25"/>
        <v>114-1\玄空風水\W16 20251227</v>
      </c>
      <c r="G124" t="str">
        <f t="shared" si="26"/>
        <v>W16 2025/12/27</v>
      </c>
    </row>
    <row r="125" spans="1:7">
      <c r="A125" s="3" t="str">
        <f t="shared" si="27"/>
        <v>114-1</v>
      </c>
      <c r="B125" s="3" t="str">
        <f t="shared" si="41"/>
        <v>擇日學</v>
      </c>
      <c r="C125" s="3" t="str">
        <f t="shared" si="29"/>
        <v>W16</v>
      </c>
      <c r="D125" s="4">
        <f t="shared" si="32"/>
        <v>46018</v>
      </c>
      <c r="E125" s="3" t="s">
        <v>34</v>
      </c>
      <c r="F125" t="str">
        <f t="shared" si="25"/>
        <v>114-1\擇日學\W16 20251227</v>
      </c>
      <c r="G125" t="str">
        <f t="shared" si="26"/>
        <v>W16 2025/12/27</v>
      </c>
    </row>
    <row r="126" spans="1:7">
      <c r="A126" s="3" t="str">
        <f t="shared" si="27"/>
        <v>114-1</v>
      </c>
      <c r="B126" s="3" t="str">
        <f t="shared" si="41"/>
        <v>道醫</v>
      </c>
      <c r="C126" s="3" t="str">
        <f t="shared" si="29"/>
        <v>W16</v>
      </c>
      <c r="D126" s="4">
        <f t="shared" si="32"/>
        <v>46019</v>
      </c>
      <c r="E126" s="3" t="s">
        <v>35</v>
      </c>
      <c r="F126" t="str">
        <f t="shared" si="25"/>
        <v>114-1\道醫\W16 20251228</v>
      </c>
      <c r="G126" t="str">
        <f t="shared" si="26"/>
        <v>W16 2025/12/28</v>
      </c>
    </row>
    <row r="127" spans="1:7">
      <c r="A127" s="3" t="str">
        <f t="shared" si="27"/>
        <v>114-1</v>
      </c>
      <c r="B127" s="3" t="str">
        <f t="shared" si="41"/>
        <v>陽宅</v>
      </c>
      <c r="C127" s="3" t="str">
        <f t="shared" si="29"/>
        <v>W16</v>
      </c>
      <c r="D127" s="4">
        <f t="shared" si="32"/>
        <v>46019</v>
      </c>
      <c r="E127" s="3" t="s">
        <v>35</v>
      </c>
      <c r="F127" t="str">
        <f t="shared" si="25"/>
        <v>114-1\陽宅\W16 20251228</v>
      </c>
      <c r="G127" t="str">
        <f t="shared" si="26"/>
        <v>W16 2025/12/28</v>
      </c>
    </row>
    <row r="128" spans="1:7">
      <c r="A128" s="3" t="str">
        <f t="shared" si="27"/>
        <v>114-1</v>
      </c>
      <c r="B128" s="3" t="str">
        <f t="shared" si="41"/>
        <v>八字論證</v>
      </c>
      <c r="C128" s="3" t="str">
        <f t="shared" si="29"/>
        <v>W16</v>
      </c>
      <c r="D128" s="4">
        <f t="shared" si="32"/>
        <v>46019</v>
      </c>
      <c r="E128" s="3" t="s">
        <v>35</v>
      </c>
      <c r="F128" t="str">
        <f t="shared" si="25"/>
        <v>114-1\八字論證\W16 20251228</v>
      </c>
      <c r="G128" t="str">
        <f t="shared" si="26"/>
        <v>W16 2025/12/28</v>
      </c>
    </row>
    <row r="129" spans="1:7">
      <c r="A129" s="3" t="str">
        <f t="shared" si="27"/>
        <v>114-1</v>
      </c>
      <c r="B129" s="3" t="s">
        <v>68</v>
      </c>
      <c r="C129" s="3" t="str">
        <f t="shared" si="29"/>
        <v>W16</v>
      </c>
      <c r="D129" s="4">
        <f t="shared" si="32"/>
        <v>46019</v>
      </c>
      <c r="E129" s="3" t="s">
        <v>35</v>
      </c>
      <c r="F129" t="str">
        <f t="shared" si="25"/>
        <v>114-1\易經論證\W16 20251228</v>
      </c>
      <c r="G129" t="str">
        <f t="shared" si="26"/>
        <v>W16 2025/12/28</v>
      </c>
    </row>
    <row r="130" spans="1:7">
      <c r="A130" s="3" t="str">
        <f t="shared" si="27"/>
        <v>114-1</v>
      </c>
      <c r="B130" s="3" t="str">
        <f t="shared" ref="B130:B136" si="43">B122</f>
        <v>道教研究專題</v>
      </c>
      <c r="C130" s="3" t="s">
        <v>117</v>
      </c>
      <c r="D130" s="4">
        <f t="shared" si="32"/>
        <v>46025</v>
      </c>
      <c r="E130" s="3" t="s">
        <v>34</v>
      </c>
      <c r="F130" t="str">
        <f t="shared" ref="F130:F145" si="44">CONCATENATE(A130,"\",B130,"\",C130," ",TEXT(D130,"yyyymmdd"))</f>
        <v>114-1\道教研究專題\W17 20260103</v>
      </c>
      <c r="G130" t="str">
        <f t="shared" ref="G130:G145" si="45">CONCATENATE(C130," ",TEXT(D130,"yyyy/mm/dd"))</f>
        <v>W17 2026/01/03</v>
      </c>
    </row>
    <row r="131" spans="1:7">
      <c r="A131" s="3" t="str">
        <f t="shared" si="27"/>
        <v>114-1</v>
      </c>
      <c r="B131" s="3" t="str">
        <f t="shared" si="43"/>
        <v>奇門遁甲</v>
      </c>
      <c r="C131" s="3" t="str">
        <f t="shared" ref="C131" si="46">C130</f>
        <v>W17</v>
      </c>
      <c r="D131" s="4">
        <f t="shared" si="32"/>
        <v>46025</v>
      </c>
      <c r="E131" s="3" t="s">
        <v>34</v>
      </c>
      <c r="F131" t="str">
        <f t="shared" si="44"/>
        <v>114-1\奇門遁甲\W17 20260103</v>
      </c>
      <c r="G131" t="str">
        <f t="shared" si="45"/>
        <v>W17 2026/01/03</v>
      </c>
    </row>
    <row r="132" spans="1:7">
      <c r="A132" s="3" t="str">
        <f t="shared" ref="A132:A145" si="47">A131</f>
        <v>114-1</v>
      </c>
      <c r="B132" s="3" t="str">
        <f t="shared" si="43"/>
        <v>玄空風水</v>
      </c>
      <c r="C132" s="3" t="str">
        <f t="shared" si="29"/>
        <v>W17</v>
      </c>
      <c r="D132" s="4">
        <f t="shared" si="32"/>
        <v>46025</v>
      </c>
      <c r="E132" s="3" t="s">
        <v>34</v>
      </c>
      <c r="F132" t="str">
        <f t="shared" si="44"/>
        <v>114-1\玄空風水\W17 20260103</v>
      </c>
      <c r="G132" t="str">
        <f t="shared" si="45"/>
        <v>W17 2026/01/03</v>
      </c>
    </row>
    <row r="133" spans="1:7">
      <c r="A133" s="3" t="str">
        <f t="shared" si="47"/>
        <v>114-1</v>
      </c>
      <c r="B133" s="3" t="str">
        <f t="shared" si="43"/>
        <v>擇日學</v>
      </c>
      <c r="C133" s="3" t="str">
        <f t="shared" si="29"/>
        <v>W17</v>
      </c>
      <c r="D133" s="4">
        <f t="shared" si="32"/>
        <v>46025</v>
      </c>
      <c r="E133" s="3" t="s">
        <v>34</v>
      </c>
      <c r="F133" t="str">
        <f t="shared" si="44"/>
        <v>114-1\擇日學\W17 20260103</v>
      </c>
      <c r="G133" t="str">
        <f t="shared" si="45"/>
        <v>W17 2026/01/03</v>
      </c>
    </row>
    <row r="134" spans="1:7">
      <c r="A134" s="3" t="str">
        <f t="shared" si="47"/>
        <v>114-1</v>
      </c>
      <c r="B134" s="3" t="str">
        <f t="shared" si="43"/>
        <v>道醫</v>
      </c>
      <c r="C134" s="3" t="str">
        <f t="shared" si="29"/>
        <v>W17</v>
      </c>
      <c r="D134" s="4">
        <f t="shared" si="32"/>
        <v>46026</v>
      </c>
      <c r="E134" s="3" t="s">
        <v>35</v>
      </c>
      <c r="F134" t="str">
        <f t="shared" si="44"/>
        <v>114-1\道醫\W17 20260104</v>
      </c>
      <c r="G134" t="str">
        <f t="shared" si="45"/>
        <v>W17 2026/01/04</v>
      </c>
    </row>
    <row r="135" spans="1:7">
      <c r="A135" s="3" t="str">
        <f t="shared" si="47"/>
        <v>114-1</v>
      </c>
      <c r="B135" s="3" t="str">
        <f t="shared" si="43"/>
        <v>陽宅</v>
      </c>
      <c r="C135" s="3" t="str">
        <f t="shared" si="29"/>
        <v>W17</v>
      </c>
      <c r="D135" s="4">
        <f t="shared" si="32"/>
        <v>46026</v>
      </c>
      <c r="E135" s="3" t="s">
        <v>35</v>
      </c>
      <c r="F135" t="str">
        <f t="shared" si="44"/>
        <v>114-1\陽宅\W17 20260104</v>
      </c>
      <c r="G135" t="str">
        <f t="shared" si="45"/>
        <v>W17 2026/01/04</v>
      </c>
    </row>
    <row r="136" spans="1:7">
      <c r="A136" s="3" t="str">
        <f t="shared" si="47"/>
        <v>114-1</v>
      </c>
      <c r="B136" s="3" t="str">
        <f t="shared" si="43"/>
        <v>八字論證</v>
      </c>
      <c r="C136" s="3" t="str">
        <f t="shared" si="29"/>
        <v>W17</v>
      </c>
      <c r="D136" s="4">
        <f t="shared" si="32"/>
        <v>46026</v>
      </c>
      <c r="E136" s="3" t="s">
        <v>35</v>
      </c>
      <c r="F136" t="str">
        <f t="shared" si="44"/>
        <v>114-1\八字論證\W17 20260104</v>
      </c>
      <c r="G136" t="str">
        <f t="shared" si="45"/>
        <v>W17 2026/01/04</v>
      </c>
    </row>
    <row r="137" spans="1:7">
      <c r="A137" s="3" t="str">
        <f t="shared" si="47"/>
        <v>114-1</v>
      </c>
      <c r="B137" s="3" t="s">
        <v>68</v>
      </c>
      <c r="C137" s="3" t="str">
        <f t="shared" si="29"/>
        <v>W17</v>
      </c>
      <c r="D137" s="4">
        <f t="shared" si="32"/>
        <v>46026</v>
      </c>
      <c r="E137" s="3" t="s">
        <v>35</v>
      </c>
      <c r="F137" t="str">
        <f t="shared" si="44"/>
        <v>114-1\易經論證\W17 20260104</v>
      </c>
      <c r="G137" t="str">
        <f t="shared" si="45"/>
        <v>W17 2026/01/04</v>
      </c>
    </row>
    <row r="138" spans="1:7">
      <c r="A138" s="3" t="str">
        <f t="shared" si="47"/>
        <v>114-1</v>
      </c>
      <c r="B138" s="3" t="str">
        <f t="shared" ref="B138:B160" si="48">B130</f>
        <v>道教研究專題</v>
      </c>
      <c r="C138" s="3" t="s">
        <v>118</v>
      </c>
      <c r="D138" s="4">
        <f t="shared" si="32"/>
        <v>46032</v>
      </c>
      <c r="E138" s="3" t="s">
        <v>34</v>
      </c>
      <c r="F138" t="str">
        <f t="shared" si="44"/>
        <v>114-1\道教研究專題\W18 20260110</v>
      </c>
      <c r="G138" t="str">
        <f t="shared" si="45"/>
        <v>W18 2026/01/10</v>
      </c>
    </row>
    <row r="139" spans="1:7">
      <c r="A139" s="3" t="str">
        <f t="shared" si="47"/>
        <v>114-1</v>
      </c>
      <c r="B139" s="3" t="str">
        <f t="shared" si="48"/>
        <v>奇門遁甲</v>
      </c>
      <c r="C139" s="3" t="str">
        <f t="shared" ref="C139:C161" si="49">C138</f>
        <v>W18</v>
      </c>
      <c r="D139" s="4">
        <f t="shared" si="32"/>
        <v>46032</v>
      </c>
      <c r="E139" s="3" t="s">
        <v>34</v>
      </c>
      <c r="F139" t="str">
        <f t="shared" si="44"/>
        <v>114-1\奇門遁甲\W18 20260110</v>
      </c>
      <c r="G139" t="str">
        <f t="shared" si="45"/>
        <v>W18 2026/01/10</v>
      </c>
    </row>
    <row r="140" spans="1:7">
      <c r="A140" s="3" t="str">
        <f t="shared" si="47"/>
        <v>114-1</v>
      </c>
      <c r="B140" s="3" t="str">
        <f t="shared" si="48"/>
        <v>玄空風水</v>
      </c>
      <c r="C140" s="3" t="str">
        <f t="shared" si="49"/>
        <v>W18</v>
      </c>
      <c r="D140" s="4">
        <f t="shared" si="32"/>
        <v>46032</v>
      </c>
      <c r="E140" s="3" t="s">
        <v>34</v>
      </c>
      <c r="F140" t="str">
        <f t="shared" si="44"/>
        <v>114-1\玄空風水\W18 20260110</v>
      </c>
      <c r="G140" t="str">
        <f t="shared" si="45"/>
        <v>W18 2026/01/10</v>
      </c>
    </row>
    <row r="141" spans="1:7">
      <c r="A141" s="3" t="str">
        <f t="shared" si="47"/>
        <v>114-1</v>
      </c>
      <c r="B141" s="3" t="str">
        <f t="shared" si="48"/>
        <v>擇日學</v>
      </c>
      <c r="C141" s="3" t="str">
        <f t="shared" si="49"/>
        <v>W18</v>
      </c>
      <c r="D141" s="4">
        <f t="shared" si="32"/>
        <v>46032</v>
      </c>
      <c r="E141" s="3" t="s">
        <v>34</v>
      </c>
      <c r="F141" t="str">
        <f t="shared" si="44"/>
        <v>114-1\擇日學\W18 20260110</v>
      </c>
      <c r="G141" t="str">
        <f t="shared" si="45"/>
        <v>W18 2026/01/10</v>
      </c>
    </row>
    <row r="142" spans="1:7">
      <c r="A142" s="3" t="str">
        <f t="shared" si="47"/>
        <v>114-1</v>
      </c>
      <c r="B142" s="3" t="str">
        <f t="shared" si="48"/>
        <v>道醫</v>
      </c>
      <c r="C142" s="3" t="str">
        <f t="shared" si="49"/>
        <v>W18</v>
      </c>
      <c r="D142" s="4">
        <f t="shared" si="32"/>
        <v>46033</v>
      </c>
      <c r="E142" s="3" t="s">
        <v>35</v>
      </c>
      <c r="F142" t="str">
        <f t="shared" si="44"/>
        <v>114-1\道醫\W18 20260111</v>
      </c>
      <c r="G142" t="str">
        <f t="shared" si="45"/>
        <v>W18 2026/01/11</v>
      </c>
    </row>
    <row r="143" spans="1:7">
      <c r="A143" s="3" t="str">
        <f t="shared" si="47"/>
        <v>114-1</v>
      </c>
      <c r="B143" s="3" t="str">
        <f t="shared" si="48"/>
        <v>陽宅</v>
      </c>
      <c r="C143" s="3" t="str">
        <f t="shared" si="49"/>
        <v>W18</v>
      </c>
      <c r="D143" s="4">
        <f t="shared" si="32"/>
        <v>46033</v>
      </c>
      <c r="E143" s="3" t="s">
        <v>35</v>
      </c>
      <c r="F143" t="str">
        <f t="shared" si="44"/>
        <v>114-1\陽宅\W18 20260111</v>
      </c>
      <c r="G143" t="str">
        <f t="shared" si="45"/>
        <v>W18 2026/01/11</v>
      </c>
    </row>
    <row r="144" spans="1:7">
      <c r="A144" s="3" t="str">
        <f t="shared" si="47"/>
        <v>114-1</v>
      </c>
      <c r="B144" s="3" t="str">
        <f t="shared" si="48"/>
        <v>八字論證</v>
      </c>
      <c r="C144" s="3" t="str">
        <f t="shared" si="49"/>
        <v>W18</v>
      </c>
      <c r="D144" s="4">
        <f t="shared" si="32"/>
        <v>46033</v>
      </c>
      <c r="E144" s="3" t="s">
        <v>35</v>
      </c>
      <c r="F144" t="str">
        <f t="shared" si="44"/>
        <v>114-1\八字論證\W18 20260111</v>
      </c>
      <c r="G144" t="str">
        <f t="shared" si="45"/>
        <v>W18 2026/01/11</v>
      </c>
    </row>
    <row r="145" spans="1:7">
      <c r="A145" s="3" t="str">
        <f t="shared" si="47"/>
        <v>114-1</v>
      </c>
      <c r="B145" s="3" t="s">
        <v>68</v>
      </c>
      <c r="C145" s="3" t="str">
        <f t="shared" si="49"/>
        <v>W18</v>
      </c>
      <c r="D145" s="4">
        <f t="shared" si="32"/>
        <v>46033</v>
      </c>
      <c r="E145" s="3" t="s">
        <v>35</v>
      </c>
      <c r="F145" t="str">
        <f t="shared" si="44"/>
        <v>114-1\易經論證\W18 20260111</v>
      </c>
      <c r="G145" t="str">
        <f t="shared" si="45"/>
        <v>W18 2026/01/11</v>
      </c>
    </row>
    <row r="146" spans="1:7">
      <c r="A146" s="3" t="str">
        <f t="shared" ref="A146:A161" si="50">A145</f>
        <v>114-1</v>
      </c>
      <c r="B146" s="3" t="str">
        <f t="shared" si="48"/>
        <v>道教研究專題</v>
      </c>
      <c r="C146" s="3" t="s">
        <v>148</v>
      </c>
      <c r="D146" s="4">
        <f t="shared" si="32"/>
        <v>46039</v>
      </c>
      <c r="E146" s="3" t="s">
        <v>34</v>
      </c>
      <c r="F146" t="str">
        <f t="shared" ref="F146:F161" si="51">CONCATENATE(A146,"\",B146,"\",C146," ",TEXT(D146,"yyyymmdd"))</f>
        <v>114-1\道教研究專題\W19 20260117</v>
      </c>
      <c r="G146" t="str">
        <f t="shared" ref="G146:G161" si="52">CONCATENATE(C146," ",TEXT(D146,"yyyy/mm/dd"))</f>
        <v>W19 2026/01/17</v>
      </c>
    </row>
    <row r="147" spans="1:7">
      <c r="A147" s="3" t="str">
        <f t="shared" si="50"/>
        <v>114-1</v>
      </c>
      <c r="B147" s="3" t="str">
        <f t="shared" si="48"/>
        <v>奇門遁甲</v>
      </c>
      <c r="C147" s="3" t="str">
        <f t="shared" ref="C147" si="53">C146</f>
        <v>W19</v>
      </c>
      <c r="D147" s="4">
        <f t="shared" si="32"/>
        <v>46039</v>
      </c>
      <c r="E147" s="3" t="s">
        <v>34</v>
      </c>
      <c r="F147" t="str">
        <f t="shared" si="51"/>
        <v>114-1\奇門遁甲\W19 20260117</v>
      </c>
      <c r="G147" t="str">
        <f t="shared" si="52"/>
        <v>W19 2026/01/17</v>
      </c>
    </row>
    <row r="148" spans="1:7">
      <c r="A148" s="3" t="str">
        <f t="shared" si="50"/>
        <v>114-1</v>
      </c>
      <c r="B148" s="3" t="str">
        <f t="shared" si="48"/>
        <v>玄空風水</v>
      </c>
      <c r="C148" s="3" t="str">
        <f t="shared" si="49"/>
        <v>W19</v>
      </c>
      <c r="D148" s="4">
        <f t="shared" si="32"/>
        <v>46039</v>
      </c>
      <c r="E148" s="3" t="s">
        <v>34</v>
      </c>
      <c r="F148" t="str">
        <f t="shared" si="51"/>
        <v>114-1\玄空風水\W19 20260117</v>
      </c>
      <c r="G148" t="str">
        <f t="shared" si="52"/>
        <v>W19 2026/01/17</v>
      </c>
    </row>
    <row r="149" spans="1:7">
      <c r="A149" s="3" t="str">
        <f t="shared" si="50"/>
        <v>114-1</v>
      </c>
      <c r="B149" s="3" t="str">
        <f t="shared" si="48"/>
        <v>擇日學</v>
      </c>
      <c r="C149" s="3" t="str">
        <f t="shared" si="49"/>
        <v>W19</v>
      </c>
      <c r="D149" s="4">
        <f t="shared" si="32"/>
        <v>46039</v>
      </c>
      <c r="E149" s="3" t="s">
        <v>34</v>
      </c>
      <c r="F149" t="str">
        <f t="shared" si="51"/>
        <v>114-1\擇日學\W19 20260117</v>
      </c>
      <c r="G149" t="str">
        <f t="shared" si="52"/>
        <v>W19 2026/01/17</v>
      </c>
    </row>
    <row r="150" spans="1:7">
      <c r="A150" s="3" t="str">
        <f t="shared" si="50"/>
        <v>114-1</v>
      </c>
      <c r="B150" s="3" t="str">
        <f t="shared" si="48"/>
        <v>道醫</v>
      </c>
      <c r="C150" s="3" t="str">
        <f t="shared" si="49"/>
        <v>W19</v>
      </c>
      <c r="D150" s="4">
        <f t="shared" si="32"/>
        <v>46040</v>
      </c>
      <c r="E150" s="3" t="s">
        <v>35</v>
      </c>
      <c r="F150" t="str">
        <f t="shared" si="51"/>
        <v>114-1\道醫\W19 20260118</v>
      </c>
      <c r="G150" t="str">
        <f t="shared" si="52"/>
        <v>W19 2026/01/18</v>
      </c>
    </row>
    <row r="151" spans="1:7">
      <c r="A151" s="3" t="str">
        <f t="shared" si="50"/>
        <v>114-1</v>
      </c>
      <c r="B151" s="3" t="str">
        <f t="shared" si="48"/>
        <v>陽宅</v>
      </c>
      <c r="C151" s="3" t="str">
        <f t="shared" si="49"/>
        <v>W19</v>
      </c>
      <c r="D151" s="4">
        <f t="shared" ref="D151:D161" si="54">D143+7</f>
        <v>46040</v>
      </c>
      <c r="E151" s="3" t="s">
        <v>35</v>
      </c>
      <c r="F151" t="str">
        <f t="shared" si="51"/>
        <v>114-1\陽宅\W19 20260118</v>
      </c>
      <c r="G151" t="str">
        <f t="shared" si="52"/>
        <v>W19 2026/01/18</v>
      </c>
    </row>
    <row r="152" spans="1:7">
      <c r="A152" s="3" t="str">
        <f t="shared" si="50"/>
        <v>114-1</v>
      </c>
      <c r="B152" s="3" t="str">
        <f t="shared" si="48"/>
        <v>八字論證</v>
      </c>
      <c r="C152" s="3" t="str">
        <f t="shared" si="49"/>
        <v>W19</v>
      </c>
      <c r="D152" s="4">
        <f t="shared" si="54"/>
        <v>46040</v>
      </c>
      <c r="E152" s="3" t="s">
        <v>35</v>
      </c>
      <c r="F152" t="str">
        <f t="shared" si="51"/>
        <v>114-1\八字論證\W19 20260118</v>
      </c>
      <c r="G152" t="str">
        <f t="shared" si="52"/>
        <v>W19 2026/01/18</v>
      </c>
    </row>
    <row r="153" spans="1:7">
      <c r="A153" s="3" t="str">
        <f t="shared" si="50"/>
        <v>114-1</v>
      </c>
      <c r="B153" s="3" t="s">
        <v>68</v>
      </c>
      <c r="C153" s="3" t="str">
        <f t="shared" si="49"/>
        <v>W19</v>
      </c>
      <c r="D153" s="4">
        <f t="shared" si="54"/>
        <v>46040</v>
      </c>
      <c r="E153" s="3" t="s">
        <v>35</v>
      </c>
      <c r="F153" t="str">
        <f t="shared" si="51"/>
        <v>114-1\易經論證\W19 20260118</v>
      </c>
      <c r="G153" t="str">
        <f t="shared" si="52"/>
        <v>W19 2026/01/18</v>
      </c>
    </row>
    <row r="154" spans="1:7">
      <c r="A154" s="3" t="str">
        <f t="shared" si="50"/>
        <v>114-1</v>
      </c>
      <c r="B154" s="3" t="str">
        <f t="shared" si="48"/>
        <v>道教研究專題</v>
      </c>
      <c r="C154" s="3" t="s">
        <v>149</v>
      </c>
      <c r="D154" s="4">
        <f t="shared" si="54"/>
        <v>46046</v>
      </c>
      <c r="E154" s="3" t="s">
        <v>34</v>
      </c>
      <c r="F154" t="str">
        <f t="shared" si="51"/>
        <v>114-1\道教研究專題\W20 20260124</v>
      </c>
      <c r="G154" t="str">
        <f t="shared" si="52"/>
        <v>W20 2026/01/24</v>
      </c>
    </row>
    <row r="155" spans="1:7">
      <c r="A155" s="3" t="str">
        <f t="shared" si="50"/>
        <v>114-1</v>
      </c>
      <c r="B155" s="3" t="str">
        <f t="shared" si="48"/>
        <v>奇門遁甲</v>
      </c>
      <c r="C155" s="3" t="str">
        <f t="shared" ref="C155" si="55">C154</f>
        <v>W20</v>
      </c>
      <c r="D155" s="4">
        <f t="shared" si="54"/>
        <v>46046</v>
      </c>
      <c r="E155" s="3" t="s">
        <v>34</v>
      </c>
      <c r="F155" t="str">
        <f t="shared" si="51"/>
        <v>114-1\奇門遁甲\W20 20260124</v>
      </c>
      <c r="G155" t="str">
        <f t="shared" si="52"/>
        <v>W20 2026/01/24</v>
      </c>
    </row>
    <row r="156" spans="1:7">
      <c r="A156" s="3" t="str">
        <f t="shared" si="50"/>
        <v>114-1</v>
      </c>
      <c r="B156" s="3" t="str">
        <f t="shared" si="48"/>
        <v>玄空風水</v>
      </c>
      <c r="C156" s="3" t="str">
        <f t="shared" si="49"/>
        <v>W20</v>
      </c>
      <c r="D156" s="4">
        <f t="shared" si="54"/>
        <v>46046</v>
      </c>
      <c r="E156" s="3" t="s">
        <v>34</v>
      </c>
      <c r="F156" t="str">
        <f t="shared" si="51"/>
        <v>114-1\玄空風水\W20 20260124</v>
      </c>
      <c r="G156" t="str">
        <f t="shared" si="52"/>
        <v>W20 2026/01/24</v>
      </c>
    </row>
    <row r="157" spans="1:7">
      <c r="A157" s="3" t="str">
        <f t="shared" si="50"/>
        <v>114-1</v>
      </c>
      <c r="B157" s="3" t="str">
        <f t="shared" si="48"/>
        <v>擇日學</v>
      </c>
      <c r="C157" s="3" t="str">
        <f t="shared" si="49"/>
        <v>W20</v>
      </c>
      <c r="D157" s="4">
        <f t="shared" si="54"/>
        <v>46046</v>
      </c>
      <c r="E157" s="3" t="s">
        <v>34</v>
      </c>
      <c r="F157" t="str">
        <f t="shared" si="51"/>
        <v>114-1\擇日學\W20 20260124</v>
      </c>
      <c r="G157" t="str">
        <f t="shared" si="52"/>
        <v>W20 2026/01/24</v>
      </c>
    </row>
    <row r="158" spans="1:7">
      <c r="A158" s="3" t="str">
        <f t="shared" si="50"/>
        <v>114-1</v>
      </c>
      <c r="B158" s="3" t="str">
        <f t="shared" si="48"/>
        <v>道醫</v>
      </c>
      <c r="C158" s="3" t="str">
        <f t="shared" si="49"/>
        <v>W20</v>
      </c>
      <c r="D158" s="4">
        <f t="shared" si="54"/>
        <v>46047</v>
      </c>
      <c r="E158" s="3" t="s">
        <v>35</v>
      </c>
      <c r="F158" t="str">
        <f t="shared" si="51"/>
        <v>114-1\道醫\W20 20260125</v>
      </c>
      <c r="G158" t="str">
        <f t="shared" si="52"/>
        <v>W20 2026/01/25</v>
      </c>
    </row>
    <row r="159" spans="1:7">
      <c r="A159" s="3" t="str">
        <f t="shared" si="50"/>
        <v>114-1</v>
      </c>
      <c r="B159" s="3" t="str">
        <f t="shared" si="48"/>
        <v>陽宅</v>
      </c>
      <c r="C159" s="3" t="str">
        <f t="shared" si="49"/>
        <v>W20</v>
      </c>
      <c r="D159" s="4">
        <f t="shared" si="54"/>
        <v>46047</v>
      </c>
      <c r="E159" s="3" t="s">
        <v>35</v>
      </c>
      <c r="F159" t="str">
        <f t="shared" si="51"/>
        <v>114-1\陽宅\W20 20260125</v>
      </c>
      <c r="G159" t="str">
        <f t="shared" si="52"/>
        <v>W20 2026/01/25</v>
      </c>
    </row>
    <row r="160" spans="1:7">
      <c r="A160" s="3" t="str">
        <f t="shared" si="50"/>
        <v>114-1</v>
      </c>
      <c r="B160" s="3" t="str">
        <f t="shared" si="48"/>
        <v>八字論證</v>
      </c>
      <c r="C160" s="3" t="str">
        <f t="shared" si="49"/>
        <v>W20</v>
      </c>
      <c r="D160" s="4">
        <f t="shared" si="54"/>
        <v>46047</v>
      </c>
      <c r="E160" s="3" t="s">
        <v>35</v>
      </c>
      <c r="F160" t="str">
        <f t="shared" si="51"/>
        <v>114-1\八字論證\W20 20260125</v>
      </c>
      <c r="G160" t="str">
        <f t="shared" si="52"/>
        <v>W20 2026/01/25</v>
      </c>
    </row>
    <row r="161" spans="1:7">
      <c r="A161" s="3" t="str">
        <f t="shared" si="50"/>
        <v>114-1</v>
      </c>
      <c r="B161" s="3" t="s">
        <v>68</v>
      </c>
      <c r="C161" s="3" t="str">
        <f t="shared" si="49"/>
        <v>W20</v>
      </c>
      <c r="D161" s="4">
        <f t="shared" si="54"/>
        <v>46047</v>
      </c>
      <c r="E161" s="3" t="s">
        <v>35</v>
      </c>
      <c r="F161" t="str">
        <f t="shared" si="51"/>
        <v>114-1\易經論證\W20 20260125</v>
      </c>
      <c r="G161" t="str">
        <f t="shared" si="52"/>
        <v>W20 2026/01/25</v>
      </c>
    </row>
  </sheetData>
  <autoFilter ref="A1:G1" xr:uid="{51991782-CA95-456C-9174-CBA85B2469A1}"/>
  <phoneticPr fontId="6" type="noConversion"/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5E26-32B8-4B8D-B913-126D23504191}">
  <sheetPr filterMode="1"/>
  <dimension ref="A1:B41"/>
  <sheetViews>
    <sheetView workbookViewId="0">
      <selection activeCell="G2" sqref="G2:G161"/>
    </sheetView>
  </sheetViews>
  <sheetFormatPr defaultRowHeight="16.5"/>
  <cols>
    <col min="1" max="1" width="29.375" customWidth="1"/>
  </cols>
  <sheetData>
    <row r="1" spans="1:2">
      <c r="A1" s="68"/>
      <c r="B1" s="68" t="s">
        <v>190</v>
      </c>
    </row>
    <row r="2" spans="1:2">
      <c r="A2" t="s">
        <v>150</v>
      </c>
      <c r="B2" s="67" t="b">
        <f t="shared" ref="B2:B41" si="0">ISEVEN(ROW())</f>
        <v>1</v>
      </c>
    </row>
    <row r="3" spans="1:2" hidden="1">
      <c r="A3" t="s">
        <v>151</v>
      </c>
      <c r="B3" s="67" t="b">
        <f t="shared" si="0"/>
        <v>0</v>
      </c>
    </row>
    <row r="4" spans="1:2">
      <c r="A4" t="s">
        <v>152</v>
      </c>
      <c r="B4" s="67" t="b">
        <f t="shared" si="0"/>
        <v>1</v>
      </c>
    </row>
    <row r="5" spans="1:2" hidden="1">
      <c r="A5" t="s">
        <v>153</v>
      </c>
      <c r="B5" s="67" t="b">
        <f t="shared" si="0"/>
        <v>0</v>
      </c>
    </row>
    <row r="6" spans="1:2">
      <c r="A6" t="s">
        <v>154</v>
      </c>
      <c r="B6" s="67" t="b">
        <f t="shared" si="0"/>
        <v>1</v>
      </c>
    </row>
    <row r="7" spans="1:2" hidden="1">
      <c r="A7" t="s">
        <v>155</v>
      </c>
      <c r="B7" s="67" t="b">
        <f t="shared" si="0"/>
        <v>0</v>
      </c>
    </row>
    <row r="8" spans="1:2">
      <c r="A8" t="s">
        <v>156</v>
      </c>
      <c r="B8" s="67" t="b">
        <f t="shared" si="0"/>
        <v>1</v>
      </c>
    </row>
    <row r="9" spans="1:2" hidden="1">
      <c r="A9" t="s">
        <v>157</v>
      </c>
      <c r="B9" s="67" t="b">
        <f t="shared" si="0"/>
        <v>0</v>
      </c>
    </row>
    <row r="10" spans="1:2">
      <c r="A10" t="s">
        <v>158</v>
      </c>
      <c r="B10" s="67" t="b">
        <f t="shared" si="0"/>
        <v>1</v>
      </c>
    </row>
    <row r="11" spans="1:2" hidden="1">
      <c r="A11" t="s">
        <v>159</v>
      </c>
      <c r="B11" s="67" t="b">
        <f t="shared" si="0"/>
        <v>0</v>
      </c>
    </row>
    <row r="12" spans="1:2">
      <c r="A12" t="s">
        <v>160</v>
      </c>
      <c r="B12" s="67" t="b">
        <f t="shared" si="0"/>
        <v>1</v>
      </c>
    </row>
    <row r="13" spans="1:2" hidden="1">
      <c r="A13" t="s">
        <v>161</v>
      </c>
      <c r="B13" s="67" t="b">
        <f t="shared" si="0"/>
        <v>0</v>
      </c>
    </row>
    <row r="14" spans="1:2">
      <c r="A14" t="s">
        <v>162</v>
      </c>
      <c r="B14" s="67" t="b">
        <f t="shared" si="0"/>
        <v>1</v>
      </c>
    </row>
    <row r="15" spans="1:2" hidden="1">
      <c r="A15" t="s">
        <v>163</v>
      </c>
      <c r="B15" s="67" t="b">
        <f t="shared" si="0"/>
        <v>0</v>
      </c>
    </row>
    <row r="16" spans="1:2">
      <c r="A16" t="s">
        <v>164</v>
      </c>
      <c r="B16" s="67" t="b">
        <f t="shared" si="0"/>
        <v>1</v>
      </c>
    </row>
    <row r="17" spans="1:2" hidden="1">
      <c r="A17" t="s">
        <v>165</v>
      </c>
      <c r="B17" s="67" t="b">
        <f t="shared" si="0"/>
        <v>0</v>
      </c>
    </row>
    <row r="18" spans="1:2">
      <c r="A18" t="s">
        <v>166</v>
      </c>
      <c r="B18" s="67" t="b">
        <f t="shared" si="0"/>
        <v>1</v>
      </c>
    </row>
    <row r="19" spans="1:2" hidden="1">
      <c r="A19" t="s">
        <v>167</v>
      </c>
      <c r="B19" s="67" t="b">
        <f t="shared" si="0"/>
        <v>0</v>
      </c>
    </row>
    <row r="20" spans="1:2">
      <c r="A20" t="s">
        <v>168</v>
      </c>
      <c r="B20" s="67" t="b">
        <f t="shared" si="0"/>
        <v>1</v>
      </c>
    </row>
    <row r="21" spans="1:2" hidden="1">
      <c r="A21" t="s">
        <v>169</v>
      </c>
      <c r="B21" s="67" t="b">
        <f t="shared" si="0"/>
        <v>0</v>
      </c>
    </row>
    <row r="22" spans="1:2">
      <c r="A22" t="s">
        <v>170</v>
      </c>
      <c r="B22" s="67" t="b">
        <f t="shared" si="0"/>
        <v>1</v>
      </c>
    </row>
    <row r="23" spans="1:2" hidden="1">
      <c r="A23" t="s">
        <v>171</v>
      </c>
      <c r="B23" s="67" t="b">
        <f t="shared" si="0"/>
        <v>0</v>
      </c>
    </row>
    <row r="24" spans="1:2">
      <c r="A24" t="s">
        <v>172</v>
      </c>
      <c r="B24" s="67" t="b">
        <f t="shared" si="0"/>
        <v>1</v>
      </c>
    </row>
    <row r="25" spans="1:2" hidden="1">
      <c r="A25" t="s">
        <v>173</v>
      </c>
      <c r="B25" s="67" t="b">
        <f t="shared" si="0"/>
        <v>0</v>
      </c>
    </row>
    <row r="26" spans="1:2">
      <c r="A26" t="s">
        <v>174</v>
      </c>
      <c r="B26" s="67" t="b">
        <f t="shared" si="0"/>
        <v>1</v>
      </c>
    </row>
    <row r="27" spans="1:2" hidden="1">
      <c r="A27" t="s">
        <v>175</v>
      </c>
      <c r="B27" s="67" t="b">
        <f t="shared" si="0"/>
        <v>0</v>
      </c>
    </row>
    <row r="28" spans="1:2">
      <c r="A28" t="s">
        <v>176</v>
      </c>
      <c r="B28" s="67" t="b">
        <f t="shared" si="0"/>
        <v>1</v>
      </c>
    </row>
    <row r="29" spans="1:2" hidden="1">
      <c r="A29" t="s">
        <v>177</v>
      </c>
      <c r="B29" s="67" t="b">
        <f t="shared" si="0"/>
        <v>0</v>
      </c>
    </row>
    <row r="30" spans="1:2">
      <c r="A30" t="s">
        <v>178</v>
      </c>
      <c r="B30" s="67" t="b">
        <f t="shared" si="0"/>
        <v>1</v>
      </c>
    </row>
    <row r="31" spans="1:2" hidden="1">
      <c r="A31" t="s">
        <v>179</v>
      </c>
      <c r="B31" s="67" t="b">
        <f t="shared" si="0"/>
        <v>0</v>
      </c>
    </row>
    <row r="32" spans="1:2">
      <c r="A32" t="s">
        <v>180</v>
      </c>
      <c r="B32" s="67" t="b">
        <f t="shared" si="0"/>
        <v>1</v>
      </c>
    </row>
    <row r="33" spans="1:2" hidden="1">
      <c r="A33" t="s">
        <v>181</v>
      </c>
      <c r="B33" s="67" t="b">
        <f t="shared" si="0"/>
        <v>0</v>
      </c>
    </row>
    <row r="34" spans="1:2">
      <c r="A34" t="s">
        <v>182</v>
      </c>
      <c r="B34" s="67" t="b">
        <f t="shared" si="0"/>
        <v>1</v>
      </c>
    </row>
    <row r="35" spans="1:2" hidden="1">
      <c r="A35" t="s">
        <v>183</v>
      </c>
      <c r="B35" s="67" t="b">
        <f t="shared" si="0"/>
        <v>0</v>
      </c>
    </row>
    <row r="36" spans="1:2">
      <c r="A36" t="s">
        <v>184</v>
      </c>
      <c r="B36" s="67" t="b">
        <f t="shared" si="0"/>
        <v>1</v>
      </c>
    </row>
    <row r="37" spans="1:2" hidden="1">
      <c r="A37" t="s">
        <v>185</v>
      </c>
      <c r="B37" s="67" t="b">
        <f t="shared" si="0"/>
        <v>0</v>
      </c>
    </row>
    <row r="38" spans="1:2">
      <c r="A38" t="s">
        <v>186</v>
      </c>
      <c r="B38" s="67" t="b">
        <f t="shared" si="0"/>
        <v>1</v>
      </c>
    </row>
    <row r="39" spans="1:2" hidden="1">
      <c r="A39" t="s">
        <v>187</v>
      </c>
      <c r="B39" s="67" t="b">
        <f t="shared" si="0"/>
        <v>0</v>
      </c>
    </row>
    <row r="40" spans="1:2">
      <c r="A40" t="s">
        <v>188</v>
      </c>
      <c r="B40" s="67" t="b">
        <f t="shared" si="0"/>
        <v>1</v>
      </c>
    </row>
    <row r="41" spans="1:2" hidden="1">
      <c r="A41" t="s">
        <v>189</v>
      </c>
      <c r="B41" s="67" t="b">
        <f t="shared" si="0"/>
        <v>0</v>
      </c>
    </row>
  </sheetData>
  <autoFilter ref="A1:B41" xr:uid="{72665E26-32B8-4B8D-B913-126D23504191}">
    <filterColumn colId="1">
      <filters>
        <filter val="TRUE"/>
      </filters>
    </filterColumn>
  </autoFilter>
  <sortState xmlns:xlrd2="http://schemas.microsoft.com/office/spreadsheetml/2017/richdata2" ref="A2:B41">
    <sortCondition ref="B1:B41"/>
  </sortState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0F9828-7BF9-4942-BF24-889A239EAF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112-1</vt:lpstr>
      <vt:lpstr>112-2</vt:lpstr>
      <vt:lpstr>113-1</vt:lpstr>
      <vt:lpstr>113-2</vt:lpstr>
      <vt:lpstr>114-1</vt:lpstr>
      <vt:lpstr>weeks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 S</dc:creator>
  <cp:lastModifiedBy>Daniel S</cp:lastModifiedBy>
  <dcterms:created xsi:type="dcterms:W3CDTF">2023-12-01T01:52:26Z</dcterms:created>
  <dcterms:modified xsi:type="dcterms:W3CDTF">2026-01-31T05:49:29Z</dcterms:modified>
</cp:coreProperties>
</file>